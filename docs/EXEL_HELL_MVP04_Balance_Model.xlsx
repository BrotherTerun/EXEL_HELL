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13964ea3a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6dd701d63b5a4906"/>
    <x:sheet xmlns:r="http://schemas.openxmlformats.org/officeDocument/2006/relationships" name="Dataset" sheetId="2" r:id="R715107e17d4c4b0e"/>
    <x:sheet xmlns:r="http://schemas.openxmlformats.org/officeDocument/2006/relationships" name="Goals" sheetId="3" r:id="Rf818ef56413941ff"/>
    <x:sheet xmlns:r="http://schemas.openxmlformats.org/officeDocument/2006/relationships" name="Combinations" sheetId="4" r:id="Rab1920ed66234a22"/>
    <x:sheet xmlns:r="http://schemas.openxmlformats.org/officeDocument/2006/relationships" name="Baseline 0.3" sheetId="5" r:id="Rdd4fda7d9e104b31"/>
    <x:sheet xmlns:r="http://schemas.openxmlformats.org/officeDocument/2006/relationships" name="Next Smoke Tests" sheetId="6" r:id="Rec32f0566ba04527"/>
    <x:sheet xmlns:r="http://schemas.openxmlformats.org/officeDocument/2006/relationships" name="Playtest Log" sheetId="7" r:id="R03317317bad3450d"/>
    <x:sheet xmlns:r="http://schemas.openxmlformats.org/officeDocument/2006/relationships" name="Dashboard" sheetId="8" r:id="R3f29511513f2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47556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E3A8A"/>
      </x:font>
      <x:fill>
        <x:patternFill patternType="solid">
          <x:bgColor rgb="FFBFDB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474faf6b449ee" /><Relationship Type="http://schemas.openxmlformats.org/officeDocument/2006/relationships/theme" Target="/xl/theme/theme1.xml" Id="Rf45f28a7c45e45d3" /><Relationship Type="http://schemas.openxmlformats.org/officeDocument/2006/relationships/sharedStrings" Target="/xl/sharedStrings.xml" Id="R300bde7ea2b346e7" /><Relationship Type="http://schemas.openxmlformats.org/officeDocument/2006/relationships/worksheet" Target="/xl/worksheets/sheet1.xml" Id="R6dd701d63b5a4906" /><Relationship Type="http://schemas.openxmlformats.org/officeDocument/2006/relationships/worksheet" Target="/xl/worksheets/sheet2.xml" Id="R715107e17d4c4b0e" /><Relationship Type="http://schemas.openxmlformats.org/officeDocument/2006/relationships/worksheet" Target="/xl/worksheets/sheet3.xml" Id="Rf818ef56413941ff" /><Relationship Type="http://schemas.openxmlformats.org/officeDocument/2006/relationships/worksheet" Target="/xl/worksheets/sheet4.xml" Id="Rab1920ed66234a22" /><Relationship Type="http://schemas.openxmlformats.org/officeDocument/2006/relationships/worksheet" Target="/xl/worksheets/sheet5.xml" Id="Rdd4fda7d9e104b31" /><Relationship Type="http://schemas.openxmlformats.org/officeDocument/2006/relationships/worksheet" Target="/xl/worksheets/sheet6.xml" Id="Rec32f0566ba04527" /><Relationship Type="http://schemas.openxmlformats.org/officeDocument/2006/relationships/worksheet" Target="/xl/worksheets/sheet7.xml" Id="R03317317bad3450d" /><Relationship Type="http://schemas.openxmlformats.org/officeDocument/2006/relationships/worksheet" Target="/xl/worksheets/sheet8.xml" Id="R3f29511513f24f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8" hidden="0" customWidth="1"/>
    <x:col min="5" max="5" width="27" hidden="0" customWidth="1"/>
    <x:col min="6" max="6" width="28" hidden="0" customWidth="1"/>
  </x:cols>
  <x:sheetData>
    <x:row r="1">
      <x:c r="A1" s="30" t="str">
        <x:v>EXEL HELL — MVP 0.4 Balance Model</x:v>
      </x:c>
      <x:c r="B1" s="30"/>
      <x:c r="C1" s="30"/>
      <x:c r="D1" s="30"/>
      <x:c r="E1" s="30"/>
      <x:c r="F1" s="30"/>
      <x:c r="G1" s="31"/>
      <x:c r="H1" s="31"/>
      <x:c r="I1" s="31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2" t="str">
        <x:v>Parameter</x:v>
      </x:c>
      <x:c r="B3" s="32" t="str">
        <x:v>Value</x:v>
      </x:c>
      <x:c r="C3" s="32" t="str">
        <x:v>Meaning</x:v>
      </x:c>
      <x:c r="D3" s="31"/>
      <x:c r="E3" s="32" t="str">
        <x:v>Derived</x:v>
      </x:c>
      <x:c r="F3" s="32" t="str">
        <x:v>Value</x:v>
      </x:c>
      <x:c r="G3" s="31"/>
      <x:c r="H3" s="31"/>
      <x:c r="I3" s="31"/>
      <x:c r="J3" s="31"/>
      <x:c r="K3" s="31"/>
      <x:c r="L3" s="31"/>
      <x:c r="M3" s="31"/>
      <x:c r="N3" s="31"/>
    </x:row>
    <x:row r="4">
      <x:c r="A4" s="31" t="str">
        <x:v>Board rows</x:v>
      </x:c>
      <x:c r="B4" s="31" t="n">
        <x:v>8</x:v>
      </x:c>
      <x:c r="C4" s="31" t="str">
        <x:v>Current graybox</x:v>
      </x:c>
      <x:c r="D4" s="31"/>
      <x:c r="E4" s="31" t="str">
        <x:v>Approx. threat horizon H</x:v>
      </x:c>
      <x:c r="F4" s="31" t="n">
        <x:f>$B$7+$B$8</x:f>
        <x:v>5</x:v>
      </x:c>
      <x:c r="G4" s="31"/>
      <x:c r="H4" s="31"/>
      <x:c r="I4" s="31"/>
      <x:c r="J4" s="31"/>
      <x:c r="K4" s="31"/>
      <x:c r="L4" s="31"/>
      <x:c r="M4" s="31"/>
      <x:c r="N4" s="31"/>
    </x:row>
    <x:row r="5">
      <x:c r="A5" s="31" t="str">
        <x:v>Board columns</x:v>
      </x:c>
      <x:c r="B5" s="31" t="n">
        <x:v>8</x:v>
      </x:c>
      <x:c r="C5" s="31" t="str">
        <x:v>Current graybox</x:v>
      </x:c>
      <x:c r="D5" s="31"/>
      <x:c r="E5" s="31" t="str">
        <x:v>Rule</x:v>
      </x:c>
      <x:c r="F5" s="31" t="str">
        <x:v>M = H - Base Cost</x:v>
      </x:c>
      <x:c r="G5" s="31"/>
      <x:c r="H5" s="31"/>
      <x:c r="I5" s="31"/>
      <x:c r="J5" s="31"/>
      <x:c r="K5" s="31"/>
      <x:c r="L5" s="31"/>
      <x:c r="M5" s="31"/>
      <x:c r="N5" s="31"/>
    </x:row>
    <x:row r="6">
      <x:c r="A6" s="31" t="str">
        <x:v>Deadline</x:v>
      </x:c>
      <x:c r="B6" s="31" t="n">
        <x:v>15</x:v>
      </x:c>
      <x:c r="C6" s="31" t="str">
        <x:v>Turns</x:v>
      </x:c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</x:row>
    <x:row r="7">
      <x:c r="A7" s="31" t="str">
        <x:v>First spawn delay</x:v>
      </x:c>
      <x:c r="B7" s="31" t="n">
        <x:v>3</x:v>
      </x:c>
      <x:c r="C7" s="31" t="str">
        <x:v>anomalyActivationTurn</x:v>
      </x:c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</x:row>
    <x:row r="8">
      <x:c r="A8" s="31" t="str">
        <x:v>Preferred spawn distance</x:v>
      </x:c>
      <x:c r="B8" s="31" t="n">
        <x:v>2</x:v>
      </x:c>
      <x:c r="C8" s="31" t="str">
        <x:v>Manhattan distance to critical data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</x:row>
    <x:row r="9">
      <x:c r="A9" s="31" t="str">
        <x:v>Spawn distance variation</x:v>
      </x:c>
      <x:c r="B9" s="31" t="n">
        <x:v>1</x:v>
      </x:c>
      <x:c r="C9" s="31" t="str">
        <x:v>± around preferred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</x:row>
    <x:row r="10">
      <x:c r="A10" s="31" t="str">
        <x:v>Respawn delay</x:v>
      </x:c>
      <x:c r="B10" s="31" t="n">
        <x:v>2</x:v>
      </x:c>
      <x:c r="C10" s="31" t="str">
        <x:v>After all active #REF! disappear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31" t="str">
        <x:v>Active outbreak delay</x:v>
      </x:c>
      <x:c r="B11" s="31" t="n">
        <x:v>3</x:v>
      </x:c>
      <x:c r="C11" s="31" t="str">
        <x:v>Parallel outbreak cadence</x:v>
      </x:c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31" t="str">
        <x:v>Corruption lifetime</x:v>
      </x:c>
      <x:c r="B12" s="31" t="n">
        <x:v>2</x:v>
      </x:c>
      <x:c r="C12" s="31" t="str">
        <x:v>Corrupted → Destroyed</x:v>
      </x:c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33" t="str">
        <x:v>Model use: filter smoke-tests, not predict exact win/loss. Actual #REF! route and worksheet geometry dominate near the boundary.</x:v>
      </x:c>
      <x:c r="B15" s="33"/>
      <x:c r="C15" s="33"/>
      <x:c r="D15" s="33"/>
      <x:c r="E15" s="33"/>
      <x:c r="F15" s="33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</x:sheetData>
  <x:mergeCells>
    <x:mergeCell ref="A1:F1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30" t="str">
        <x:v>MVP 0.4 fresh dataset</x:v>
      </x:c>
      <x:c r="B1" s="30"/>
      <x:c r="C1" s="30"/>
      <x:c r="D1" s="30"/>
      <x:c r="E1" s="30"/>
      <x:c r="F1" s="30"/>
      <x:c r="G1" s="31"/>
      <x:c r="H1" s="31"/>
      <x:c r="I1" s="31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2" t="str">
        <x:v>Employee</x:v>
      </x:c>
      <x:c r="B3" s="32" t="str">
        <x:v>Hours</x:v>
      </x:c>
      <x:c r="C3" s="32" t="str">
        <x:v>Salary</x:v>
      </x:c>
      <x:c r="D3" s="32" t="str">
        <x:v>Overtime</x:v>
      </x:c>
      <x:c r="E3" s="32" t="str">
        <x:v>Bonus</x:v>
      </x:c>
      <x:c r="F3" s="31"/>
      <x:c r="G3" s="31"/>
      <x:c r="H3" s="31"/>
      <x:c r="I3" s="31"/>
      <x:c r="J3" s="31"/>
      <x:c r="K3" s="31"/>
      <x:c r="L3" s="31"/>
      <x:c r="M3" s="31"/>
      <x:c r="N3" s="31"/>
    </x:row>
    <x:row r="4">
      <x:c r="A4" s="31" t="str">
        <x:v>Ivanov</x:v>
      </x:c>
      <x:c r="B4" s="31" t="n">
        <x:v>38</x:v>
      </x:c>
      <x:c r="C4" s="31" t="n">
        <x:v>63</x:v>
      </x:c>
      <x:c r="D4" s="31" t="n">
        <x:v>1</x:v>
      </x:c>
      <x:c r="E4" s="31" t="n">
        <x:v>7</x:v>
      </x:c>
      <x:c r="F4" s="31"/>
      <x:c r="G4" s="31"/>
      <x:c r="H4" s="31"/>
      <x:c r="I4" s="31"/>
      <x:c r="J4" s="31"/>
      <x:c r="K4" s="31"/>
      <x:c r="L4" s="31"/>
      <x:c r="M4" s="31"/>
      <x:c r="N4" s="31"/>
    </x:row>
    <x:row r="5">
      <x:c r="A5" s="31" t="str">
        <x:v>Petrov</x:v>
      </x:c>
      <x:c r="B5" s="31" t="n">
        <x:v>42</x:v>
      </x:c>
      <x:c r="C5" s="31" t="n">
        <x:v>54</x:v>
      </x:c>
      <x:c r="D5" s="31" t="n">
        <x:v>4</x:v>
      </x:c>
      <x:c r="E5" s="31" t="n">
        <x:v>2</x:v>
      </x:c>
      <x:c r="F5" s="31"/>
      <x:c r="G5" s="31"/>
      <x:c r="H5" s="31"/>
      <x:c r="I5" s="31"/>
      <x:c r="J5" s="31"/>
      <x:c r="K5" s="31"/>
      <x:c r="L5" s="31"/>
      <x:c r="M5" s="31"/>
      <x:c r="N5" s="31"/>
    </x:row>
    <x:row r="6">
      <x:c r="A6" s="31" t="str">
        <x:v>Sidorov</x:v>
      </x:c>
      <x:c r="B6" s="31" t="n">
        <x:v>35</x:v>
      </x:c>
      <x:c r="C6" s="31" t="n">
        <x:v>71</x:v>
      </x:c>
      <x:c r="D6" s="31" t="n">
        <x:v>6</x:v>
      </x:c>
      <x:c r="E6" s="31" t="n">
        <x:v>5</x:v>
      </x:c>
      <x:c r="F6" s="31"/>
      <x:c r="G6" s="31"/>
      <x:c r="H6" s="31"/>
      <x:c r="I6" s="31"/>
      <x:c r="J6" s="31"/>
      <x:c r="K6" s="31"/>
      <x:c r="L6" s="31"/>
      <x:c r="M6" s="31"/>
      <x:c r="N6" s="31"/>
    </x:row>
    <x:row r="7">
      <x:c r="A7" s="31" t="str">
        <x:v>Volkova</x:v>
      </x:c>
      <x:c r="B7" s="31" t="n">
        <x:v>47</x:v>
      </x:c>
      <x:c r="C7" s="31" t="n">
        <x:v>58</x:v>
      </x:c>
      <x:c r="D7" s="31" t="n">
        <x:v>3</x:v>
      </x:c>
      <x:c r="E7" s="31" t="n">
        <x:v>9</x:v>
      </x:c>
      <x:c r="F7" s="31"/>
      <x:c r="G7" s="31"/>
      <x:c r="H7" s="31"/>
      <x:c r="I7" s="31"/>
      <x:c r="J7" s="31"/>
      <x:c r="K7" s="31"/>
      <x:c r="L7" s="31"/>
      <x:c r="M7" s="31"/>
      <x:c r="N7" s="31"/>
    </x:row>
    <x:row r="8">
      <x:c r="A8" s="31" t="str">
        <x:v>Kim</x:v>
      </x:c>
      <x:c r="B8" s="31" t="n">
        <x:v>39</x:v>
      </x:c>
      <x:c r="C8" s="31" t="n">
        <x:v>66</x:v>
      </x:c>
      <x:c r="D8" s="31" t="n">
        <x:v>2</x:v>
      </x:c>
      <x:c r="E8" s="31" t="n">
        <x:v>4</x:v>
      </x:c>
      <x:c r="F8" s="31"/>
      <x:c r="G8" s="31"/>
      <x:c r="H8" s="31"/>
      <x:c r="I8" s="31"/>
      <x:c r="J8" s="31"/>
      <x:c r="K8" s="31"/>
      <x:c r="L8" s="31"/>
      <x:c r="M8" s="31"/>
      <x:c r="N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</x:row>
    <x:row r="10">
      <x:c r="A10" s="32" t="str">
        <x:v>Goal</x:v>
      </x:c>
      <x:c r="B10" s="32" t="str">
        <x:v>Expected</x:v>
      </x:c>
      <x:c r="C10" s="31"/>
      <x:c r="D10" s="32" t="str">
        <x:v>Goal</x:v>
      </x:c>
      <x:c r="E10" s="32" t="str">
        <x:v>Expected</x:v>
      </x:c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31" t="str">
        <x:v>Salary total</x:v>
      </x:c>
      <x:c r="B11" s="31" t="n">
        <x:v>312</x:v>
      </x:c>
      <x:c r="C11" s="31"/>
      <x:c r="D11" s="31" t="str">
        <x:v>Salary where Hours &lt; 40</x:v>
      </x:c>
      <x:c r="E11" s="31" t="n">
        <x:v>200</x:v>
      </x:c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31" t="str">
        <x:v>Overtime total</x:v>
      </x:c>
      <x:c r="B12" s="31" t="n">
        <x:v>16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31" t="str">
        <x:v>Bonus total</x:v>
      </x:c>
      <x:c r="B13" s="31" t="n">
        <x:v>27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 t="str">
        <x:v>Bonus ≥ 5</x:v>
      </x:c>
      <x:c r="B14" s="31" t="n">
        <x:v>21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31" t="str">
        <x:v>Salary of max overtime</x:v>
      </x:c>
      <x:c r="B15" s="31" t="n">
        <x:v>71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4" hidden="0" customWidth="1"/>
    <x:col min="4" max="4" width="14" hidden="0" customWidth="1"/>
    <x:col min="5" max="5" width="30" hidden="0" customWidth="1"/>
    <x:col min="6" max="6" width="12" hidden="0" customWidth="1"/>
    <x:col min="7" max="7" width="50" hidden="0" customWidth="1"/>
  </x:cols>
  <x:sheetData>
    <x:row r="1">
      <x:c r="A1" s="30" t="str">
        <x:v>Report Goals — MVP 0.4</x:v>
      </x:c>
      <x:c r="B1" s="30"/>
      <x:c r="C1" s="30"/>
      <x:c r="D1" s="30"/>
      <x:c r="E1" s="30"/>
      <x:c r="F1" s="30"/>
      <x:c r="G1" s="30"/>
      <x:c r="H1" s="31"/>
      <x:c r="I1" s="31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2" t="str">
        <x:v>ID</x:v>
      </x:c>
      <x:c r="B3" s="32" t="str">
        <x:v>Goal</x:v>
      </x:c>
      <x:c r="C3" s="32" t="str">
        <x:v>Expected</x:v>
      </x:c>
      <x:c r="D3" s="32" t="str">
        <x:v>Solo Base Cost</x:v>
      </x:c>
      <x:c r="E3" s="32" t="str">
        <x:v>Critical Data</x:v>
      </x:c>
      <x:c r="F3" s="32" t="str">
        <x:v>Role</x:v>
      </x:c>
      <x:c r="G3" s="32" t="str">
        <x:v>Notes</x:v>
      </x:c>
      <x:c r="H3" s="31"/>
      <x:c r="I3" s="31"/>
      <x:c r="J3" s="31"/>
      <x:c r="K3" s="31"/>
      <x:c r="L3" s="31"/>
      <x:c r="M3" s="31"/>
      <x:c r="N3" s="31"/>
    </x:row>
    <x:row r="4">
      <x:c r="A4" s="31" t="str">
        <x:v>ST</x:v>
      </x:c>
      <x:c r="B4" s="31" t="str">
        <x:v>Итого зарплата</x:v>
      </x:c>
      <x:c r="C4" s="31" t="n">
        <x:v>312</x:v>
      </x:c>
      <x:c r="D4" s="31" t="n">
        <x:v>2</x:v>
      </x:c>
      <x:c r="E4" s="31" t="str">
        <x:v>salary:*</x:v>
      </x:c>
      <x:c r="F4" s="31" t="str">
        <x:v>ATOMIC</x:v>
      </x:c>
      <x:c r="G4" s="31" t="str">
        <x:v>SORT Salary + SUM прямо в Report. Report SUM не расходует источники.</x:v>
      </x:c>
      <x:c r="H4" s="31"/>
      <x:c r="I4" s="31"/>
      <x:c r="J4" s="31"/>
      <x:c r="K4" s="31"/>
      <x:c r="L4" s="31"/>
      <x:c r="M4" s="31"/>
      <x:c r="N4" s="31"/>
    </x:row>
    <x:row r="5">
      <x:c r="A5" s="31" t="str">
        <x:v>OT</x:v>
      </x:c>
      <x:c r="B5" s="31" t="str">
        <x:v>Итого переработки</x:v>
      </x:c>
      <x:c r="C5" s="31" t="n">
        <x:v>16</x:v>
      </x:c>
      <x:c r="D5" s="31" t="n">
        <x:v>2</x:v>
      </x:c>
      <x:c r="E5" s="31" t="str">
        <x:v>overtime:*</x:v>
      </x:c>
      <x:c r="F5" s="31" t="str">
        <x:v>ATOMIC</x:v>
      </x:c>
      <x:c r="G5" s="31" t="str">
        <x:v>SORT Overtime + SUM прямо в Report.</x:v>
      </x:c>
      <x:c r="H5" s="31"/>
      <x:c r="I5" s="31"/>
      <x:c r="J5" s="31"/>
      <x:c r="K5" s="31"/>
      <x:c r="L5" s="31"/>
      <x:c r="M5" s="31"/>
      <x:c r="N5" s="31"/>
    </x:row>
    <x:row r="6">
      <x:c r="A6" s="31" t="str">
        <x:v>BT</x:v>
      </x:c>
      <x:c r="B6" s="31" t="str">
        <x:v>Итого премии</x:v>
      </x:c>
      <x:c r="C6" s="31" t="n">
        <x:v>27</x:v>
      </x:c>
      <x:c r="D6" s="31" t="n">
        <x:v>2</x:v>
      </x:c>
      <x:c r="E6" s="31" t="str">
        <x:v>bonus:*</x:v>
      </x:c>
      <x:c r="F6" s="31" t="str">
        <x:v>ATOMIC</x:v>
      </x:c>
      <x:c r="G6" s="31" t="str">
        <x:v>SORT Bonus + SUM прямо в Report.</x:v>
      </x:c>
      <x:c r="H6" s="31"/>
      <x:c r="I6" s="31"/>
      <x:c r="J6" s="31"/>
      <x:c r="K6" s="31"/>
      <x:c r="L6" s="31"/>
      <x:c r="M6" s="31"/>
      <x:c r="N6" s="31"/>
    </x:row>
    <x:row r="7">
      <x:c r="A7" s="31" t="str">
        <x:v>B5</x:v>
      </x:c>
      <x:c r="B7" s="31" t="str">
        <x:v>Премии ≥ 5</x:v>
      </x:c>
      <x:c r="C7" s="31" t="n">
        <x:v>21</x:v>
      </x:c>
      <x:c r="D7" s="31" t="n">
        <x:v>5</x:v>
      </x:c>
      <x:c r="E7" s="31" t="str">
        <x:v>bonus:*</x:v>
      </x:c>
      <x:c r="F7" s="31" t="str">
        <x:v>SEMANTIC</x:v>
      </x:c>
      <x:c r="G7" s="31" t="str">
        <x:v>Ориентир по smoke-06: условный subset требует перестановки/сжатия; порог обновлён с ≥4 на ≥5.</x:v>
      </x:c>
      <x:c r="H7" s="31"/>
      <x:c r="I7" s="31"/>
      <x:c r="J7" s="31"/>
      <x:c r="K7" s="31"/>
      <x:c r="L7" s="31"/>
      <x:c r="M7" s="31"/>
      <x:c r="N7" s="31"/>
    </x:row>
    <x:row r="8">
      <x:c r="A8" s="31" t="str">
        <x:v>MS</x:v>
      </x:c>
      <x:c r="B8" s="31" t="str">
        <x:v>Зарплата сотрудника с max переработкой</x:v>
      </x:c>
      <x:c r="C8" s="31" t="n">
        <x:v>71</x:v>
      </x:c>
      <x:c r="D8" s="31" t="n">
        <x:v>4</x:v>
      </x:c>
      <x:c r="E8" s="31" t="str">
        <x:v>overtime:* + sidorov.salary</x:v>
      </x:c>
      <x:c r="F8" s="31" t="str">
        <x:v>SEMANTIC</x:v>
      </x:c>
      <x:c r="G8" s="31" t="str">
        <x:v>SORT Overtime → определить Sidorov → CUT/PASTE salary в Report. SUM(1) запрещён.</x:v>
      </x:c>
      <x:c r="H8" s="31"/>
      <x:c r="I8" s="31"/>
      <x:c r="J8" s="31"/>
      <x:c r="K8" s="31"/>
      <x:c r="L8" s="31"/>
      <x:c r="M8" s="31"/>
      <x:c r="N8" s="31"/>
    </x:row>
    <x:row r="9">
      <x:c r="A9" s="31" t="str">
        <x:v>LH</x:v>
      </x:c>
      <x:c r="B9" s="31" t="str">
        <x:v>Зарплаты сотрудников с часами &lt; 40</x:v>
      </x:c>
      <x:c r="C9" s="31" t="n">
        <x:v>200</x:v>
      </x:c>
      <x:c r="D9" s="31" t="n">
        <x:v>4</x:v>
      </x:c>
      <x:c r="E9" s="31" t="str">
        <x:v>hours:* + ivanov/sidorov/kim salary</x:v>
      </x:c>
      <x:c r="F9" s="31" t="str">
        <x:v>SEMANTIC</x:v>
      </x:c>
      <x:c r="G9" s="31" t="str">
        <x:v>SORT Hours → определить 3 записи → собрать соответствующие salary.</x:v>
      </x:c>
      <x:c r="H9" s="31"/>
      <x:c r="I9" s="31"/>
      <x:c r="J9" s="31"/>
      <x:c r="K9" s="31"/>
      <x:c r="L9" s="31"/>
      <x:c r="M9" s="31"/>
      <x:c r="N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33" t="str">
        <x:v>Cost is a pre-#REF! heuristic. B5/LH/MS are intentionally estimated from observed action patterns, not treated as exact shortest-path proofs.</x:v>
      </x:c>
      <x:c r="B11" s="33"/>
      <x:c r="C11" s="33"/>
      <x:c r="D11" s="33"/>
      <x:c r="E11" s="33"/>
      <x:c r="F11" s="33"/>
      <x:c r="G11" s="33"/>
      <x:c r="H11" s="31"/>
      <x:c r="I11" s="31"/>
      <x:c r="J11" s="31"/>
      <x:c r="K11" s="31"/>
      <x:c r="L11" s="31"/>
      <x:c r="M11" s="31"/>
      <x:c r="N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5" hidden="0" customWidth="1"/>
    <x:col min="11" max="11" width="14" hidden="0" customWidth="1"/>
    <x:col min="12" max="12" width="14" hidden="0" customWidth="1"/>
    <x:col min="13" max="13" width="14" hidden="0" customWidth="1"/>
    <x:col min="14" max="14" width="48" hidden="0" customWidth="1"/>
  </x:cols>
  <x:sheetData>
    <x:row r="1">
      <x:c r="A1" s="30" t="str">
        <x:v>All 2–3 goal combinations under MVP 0.4 rules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2" t="str">
        <x:v>N</x:v>
      </x:c>
      <x:c r="B3" s="32" t="str">
        <x:v>Goal 1</x:v>
      </x:c>
      <x:c r="C3" s="32" t="str">
        <x:v>Goal 2</x:v>
      </x:c>
      <x:c r="D3" s="32" t="str">
        <x:v>Goal 3</x:v>
      </x:c>
      <x:c r="E3" s="32" t="str">
        <x:v>Combination</x:v>
      </x:c>
      <x:c r="F3" s="32" t="str">
        <x:v>Heuristic Base Cost</x:v>
      </x:c>
      <x:c r="G3" s="32" t="str">
        <x:v>Threat Horizon H</x:v>
      </x:c>
      <x:c r="H3" s="32" t="str">
        <x:v>Margin M</x:v>
      </x:c>
      <x:c r="I3" s="32" t="str">
        <x:v>Band</x:v>
      </x:c>
      <x:c r="J3" s="32" t="str">
        <x:v>Overlap note</x:v>
      </x:c>
      <x:c r="K3" s="32" t="str">
        <x:v>Next smoke?</x:v>
      </x:c>
      <x:c r="L3" s="32" t="str">
        <x:v>Actual result</x:v>
      </x:c>
      <x:c r="M3" s="32" t="str">
        <x:v>Actual turns</x:v>
      </x:c>
      <x:c r="N3" s="32" t="str">
        <x:v>Comment</x:v>
      </x:c>
    </x:row>
    <x:row r="4">
      <x:c r="A4" s="31" t="n">
        <x:v>2</x:v>
      </x:c>
      <x:c r="B4" s="31" t="str">
        <x:v>ST</x:v>
      </x:c>
      <x:c r="C4" s="31" t="str">
        <x:v>OT</x:v>
      </x:c>
      <x:c r="D4" s="31" t="str"/>
      <x:c r="E4" s="31" t="str">
        <x:v>ST + OT</x:v>
      </x:c>
      <x:c r="F4" s="31" t="n">
        <x:v>4</x:v>
      </x:c>
      <x:c r="G4" s="31" t="n">
        <x:f>Parameters!$F$4</x:f>
        <x:v>5</x:v>
      </x:c>
      <x:c r="H4" s="31" t="n">
        <x:f>G4-F4</x:f>
        <x:v>1</x:v>
      </x:c>
      <x:c r="I4" s="31" t="str">
        <x:f>IF(H4&gt;=3,"SAFE",IF(H4&gt;=1,"LIGHT",IF(H4=0,"EDGE",IF(H4&gt;=-2,"PRESSURE","OVERLOAD"))))</x:f>
        <x:v>LIGHT</x:v>
      </x:c>
      <x:c r="J4" s="31" t="str"/>
      <x:c r="K4" s="31" t="str">
        <x:v>YES</x:v>
      </x:c>
      <x:c r="L4" s="31" t="str"/>
      <x:c r="M4" s="31" t="str"/>
      <x:c r="N4" s="31" t="str">
        <x:v>CONTROL — verify new numbers/UI, expected short run</x:v>
      </x:c>
    </x:row>
    <x:row r="5">
      <x:c r="A5" s="31" t="n">
        <x:v>2</x:v>
      </x:c>
      <x:c r="B5" s="31" t="str">
        <x:v>ST</x:v>
      </x:c>
      <x:c r="C5" s="31" t="str">
        <x:v>BT</x:v>
      </x:c>
      <x:c r="D5" s="31" t="str"/>
      <x:c r="E5" s="31" t="str">
        <x:v>ST + BT</x:v>
      </x:c>
      <x:c r="F5" s="31" t="n">
        <x:v>4</x:v>
      </x:c>
      <x:c r="G5" s="31" t="n">
        <x:f>Parameters!$F$4</x:f>
        <x:v>5</x:v>
      </x:c>
      <x:c r="H5" s="31" t="n">
        <x:f>G5-F5</x:f>
        <x:v>1</x:v>
      </x:c>
      <x:c r="I5" s="31" t="str">
        <x:f>IF(H5&gt;=3,"SAFE",IF(H5&gt;=1,"LIGHT",IF(H5=0,"EDGE",IF(H5&gt;=-2,"PRESSURE","OVERLOAD"))))</x:f>
        <x:v>LIGHT</x:v>
      </x:c>
      <x:c r="J5" s="31" t="str"/>
      <x:c r="K5" s="31" t="str"/>
      <x:c r="L5" s="31" t="str"/>
      <x:c r="M5" s="31" t="str"/>
      <x:c r="N5" s="31" t="str"/>
    </x:row>
    <x:row r="6">
      <x:c r="A6" s="31" t="n">
        <x:v>2</x:v>
      </x:c>
      <x:c r="B6" s="31" t="str">
        <x:v>ST</x:v>
      </x:c>
      <x:c r="C6" s="31" t="str">
        <x:v>B5</x:v>
      </x:c>
      <x:c r="D6" s="31" t="str"/>
      <x:c r="E6" s="31" t="str">
        <x:v>ST + B5</x:v>
      </x:c>
      <x:c r="F6" s="31" t="n">
        <x:v>7</x:v>
      </x:c>
      <x:c r="G6" s="31" t="n">
        <x:f>Parameters!$F$4</x:f>
        <x:v>5</x:v>
      </x:c>
      <x:c r="H6" s="31" t="n">
        <x:f>G6-F6</x:f>
        <x:v>-2</x:v>
      </x:c>
      <x:c r="I6" s="31" t="str">
        <x:f>IF(H6&gt;=3,"SAFE",IF(H6&gt;=1,"LIGHT",IF(H6=0,"EDGE",IF(H6&gt;=-2,"PRESSURE","OVERLOAD"))))</x:f>
        <x:v>PRESSURE</x:v>
      </x:c>
      <x:c r="J6" s="31" t="str"/>
      <x:c r="K6" s="31" t="str">
        <x:v>YES</x:v>
      </x:c>
      <x:c r="L6" s="31" t="str"/>
      <x:c r="M6" s="31" t="str"/>
      <x:c r="N6" s="31" t="str">
        <x:v>COMPARE — semantic subset with fresh numbers</x:v>
      </x:c>
    </x:row>
    <x:row r="7">
      <x:c r="A7" s="31" t="n">
        <x:v>2</x:v>
      </x:c>
      <x:c r="B7" s="31" t="str">
        <x:v>ST</x:v>
      </x:c>
      <x:c r="C7" s="31" t="str">
        <x:v>MS</x:v>
      </x:c>
      <x:c r="D7" s="31" t="str"/>
      <x:c r="E7" s="31" t="str">
        <x:v>ST + MS</x:v>
      </x:c>
      <x:c r="F7" s="31" t="n">
        <x:v>6</x:v>
      </x:c>
      <x:c r="G7" s="31" t="n">
        <x:f>Parameters!$F$4</x:f>
        <x:v>5</x:v>
      </x:c>
      <x:c r="H7" s="31" t="n">
        <x:f>G7-F7</x:f>
        <x:v>-1</x:v>
      </x:c>
      <x:c r="I7" s="31" t="str">
        <x:f>IF(H7&gt;=3,"SAFE",IF(H7&gt;=1,"LIGHT",IF(H7=0,"EDGE",IF(H7&gt;=-2,"PRESSURE","OVERLOAD"))))</x:f>
        <x:v>PRESSURE</x:v>
      </x:c>
      <x:c r="J7" s="31" t="str">
        <x:v>overlap +0</x:v>
      </x:c>
      <x:c r="K7" s="31" t="str"/>
      <x:c r="L7" s="31" t="str"/>
      <x:c r="M7" s="31" t="str"/>
      <x:c r="N7" s="31" t="str"/>
    </x:row>
    <x:row r="8">
      <x:c r="A8" s="31" t="n">
        <x:v>2</x:v>
      </x:c>
      <x:c r="B8" s="31" t="str">
        <x:v>ST</x:v>
      </x:c>
      <x:c r="C8" s="31" t="str">
        <x:v>LH</x:v>
      </x:c>
      <x:c r="D8" s="31" t="str"/>
      <x:c r="E8" s="31" t="str">
        <x:v>ST + LH</x:v>
      </x:c>
      <x:c r="F8" s="31" t="n">
        <x:v>6</x:v>
      </x:c>
      <x:c r="G8" s="31" t="n">
        <x:f>Parameters!$F$4</x:f>
        <x:v>5</x:v>
      </x:c>
      <x:c r="H8" s="31" t="n">
        <x:f>G8-F8</x:f>
        <x:v>-1</x:v>
      </x:c>
      <x:c r="I8" s="31" t="str">
        <x:f>IF(H8&gt;=3,"SAFE",IF(H8&gt;=1,"LIGHT",IF(H8=0,"EDGE",IF(H8&gt;=-2,"PRESSURE","OVERLOAD"))))</x:f>
        <x:v>PRESSURE</x:v>
      </x:c>
      <x:c r="J8" s="31" t="str">
        <x:v>overlap +0</x:v>
      </x:c>
      <x:c r="K8" s="31" t="str"/>
      <x:c r="L8" s="31" t="str"/>
      <x:c r="M8" s="31" t="str"/>
      <x:c r="N8" s="31" t="str"/>
    </x:row>
    <x:row r="9">
      <x:c r="A9" s="31" t="n">
        <x:v>2</x:v>
      </x:c>
      <x:c r="B9" s="31" t="str">
        <x:v>OT</x:v>
      </x:c>
      <x:c r="C9" s="31" t="str">
        <x:v>BT</x:v>
      </x:c>
      <x:c r="D9" s="31" t="str"/>
      <x:c r="E9" s="31" t="str">
        <x:v>OT + BT</x:v>
      </x:c>
      <x:c r="F9" s="31" t="n">
        <x:v>4</x:v>
      </x:c>
      <x:c r="G9" s="31" t="n">
        <x:f>Parameters!$F$4</x:f>
        <x:v>5</x:v>
      </x:c>
      <x:c r="H9" s="31" t="n">
        <x:f>G9-F9</x:f>
        <x:v>1</x:v>
      </x:c>
      <x:c r="I9" s="31" t="str">
        <x:f>IF(H9&gt;=3,"SAFE",IF(H9&gt;=1,"LIGHT",IF(H9=0,"EDGE",IF(H9&gt;=-2,"PRESSURE","OVERLOAD"))))</x:f>
        <x:v>LIGHT</x:v>
      </x:c>
      <x:c r="J9" s="31" t="str"/>
      <x:c r="K9" s="31" t="str"/>
      <x:c r="L9" s="31" t="str"/>
      <x:c r="M9" s="31" t="str"/>
      <x:c r="N9" s="31" t="str"/>
    </x:row>
    <x:row r="10">
      <x:c r="A10" s="31" t="n">
        <x:v>2</x:v>
      </x:c>
      <x:c r="B10" s="31" t="str">
        <x:v>OT</x:v>
      </x:c>
      <x:c r="C10" s="31" t="str">
        <x:v>B5</x:v>
      </x:c>
      <x:c r="D10" s="31" t="str"/>
      <x:c r="E10" s="31" t="str">
        <x:v>OT + B5</x:v>
      </x:c>
      <x:c r="F10" s="31" t="n">
        <x:v>7</x:v>
      </x:c>
      <x:c r="G10" s="31" t="n">
        <x:f>Parameters!$F$4</x:f>
        <x:v>5</x:v>
      </x:c>
      <x:c r="H10" s="31" t="n">
        <x:f>G10-F10</x:f>
        <x:v>-2</x:v>
      </x:c>
      <x:c r="I10" s="31" t="str">
        <x:f>IF(H10&gt;=3,"SAFE",IF(H10&gt;=1,"LIGHT",IF(H10=0,"EDGE",IF(H10&gt;=-2,"PRESSURE","OVERLOAD"))))</x:f>
        <x:v>PRESSURE</x:v>
      </x:c>
      <x:c r="J10" s="31" t="str"/>
      <x:c r="K10" s="31" t="str"/>
      <x:c r="L10" s="31" t="str"/>
      <x:c r="M10" s="31" t="str"/>
      <x:c r="N10" s="31" t="str"/>
    </x:row>
    <x:row r="11">
      <x:c r="A11" s="31" t="n">
        <x:v>2</x:v>
      </x:c>
      <x:c r="B11" s="31" t="str">
        <x:v>OT</x:v>
      </x:c>
      <x:c r="C11" s="31" t="str">
        <x:v>MS</x:v>
      </x:c>
      <x:c r="D11" s="31" t="str"/>
      <x:c r="E11" s="31" t="str">
        <x:v>OT + MS</x:v>
      </x:c>
      <x:c r="F11" s="31" t="n">
        <x:v>5</x:v>
      </x:c>
      <x:c r="G11" s="31" t="n">
        <x:f>Parameters!$F$4</x:f>
        <x:v>5</x:v>
      </x:c>
      <x:c r="H11" s="31" t="n">
        <x:f>G11-F11</x:f>
        <x:v>0</x:v>
      </x:c>
      <x:c r="I11" s="31" t="str">
        <x:f>IF(H11&gt;=3,"SAFE",IF(H11&gt;=1,"LIGHT",IF(H11=0,"EDGE",IF(H11&gt;=-2,"PRESSURE","OVERLOAD"))))</x:f>
        <x:v>EDGE</x:v>
      </x:c>
      <x:c r="J11" s="31" t="str">
        <x:v>shared prep -1</x:v>
      </x:c>
      <x:c r="K11" s="31" t="str">
        <x:v>YES</x:v>
      </x:c>
      <x:c r="L11" s="31" t="str"/>
      <x:c r="M11" s="31" t="str"/>
      <x:c r="N11" s="31" t="str">
        <x:v>COMPARE — known shared-sort route</x:v>
      </x:c>
    </x:row>
    <x:row r="12">
      <x:c r="A12" s="31" t="n">
        <x:v>2</x:v>
      </x:c>
      <x:c r="B12" s="31" t="str">
        <x:v>OT</x:v>
      </x:c>
      <x:c r="C12" s="31" t="str">
        <x:v>LH</x:v>
      </x:c>
      <x:c r="D12" s="31" t="str"/>
      <x:c r="E12" s="31" t="str">
        <x:v>OT + LH</x:v>
      </x:c>
      <x:c r="F12" s="31" t="n">
        <x:v>6</x:v>
      </x:c>
      <x:c r="G12" s="31" t="n">
        <x:f>Parameters!$F$4</x:f>
        <x:v>5</x:v>
      </x:c>
      <x:c r="H12" s="31" t="n">
        <x:f>G12-F12</x:f>
        <x:v>-1</x:v>
      </x:c>
      <x:c r="I12" s="31" t="str">
        <x:f>IF(H12&gt;=3,"SAFE",IF(H12&gt;=1,"LIGHT",IF(H12=0,"EDGE",IF(H12&gt;=-2,"PRESSURE","OVERLOAD"))))</x:f>
        <x:v>PRESSURE</x:v>
      </x:c>
      <x:c r="J12" s="31" t="str"/>
      <x:c r="K12" s="31" t="str"/>
      <x:c r="L12" s="31" t="str"/>
      <x:c r="M12" s="31" t="str"/>
      <x:c r="N12" s="31" t="str"/>
    </x:row>
    <x:row r="13">
      <x:c r="A13" s="31" t="n">
        <x:v>2</x:v>
      </x:c>
      <x:c r="B13" s="31" t="str">
        <x:v>BT</x:v>
      </x:c>
      <x:c r="C13" s="31" t="str">
        <x:v>B5</x:v>
      </x:c>
      <x:c r="D13" s="31" t="str"/>
      <x:c r="E13" s="31" t="str">
        <x:v>BT + B5</x:v>
      </x:c>
      <x:c r="F13" s="31" t="n">
        <x:v>6</x:v>
      </x:c>
      <x:c r="G13" s="31" t="n">
        <x:f>Parameters!$F$4</x:f>
        <x:v>5</x:v>
      </x:c>
      <x:c r="H13" s="31" t="n">
        <x:f>G13-F13</x:f>
        <x:v>-1</x:v>
      </x:c>
      <x:c r="I13" s="31" t="str">
        <x:f>IF(H13&gt;=3,"SAFE",IF(H13&gt;=1,"LIGHT",IF(H13=0,"EDGE",IF(H13&gt;=-2,"PRESSURE","OVERLOAD"))))</x:f>
        <x:v>PRESSURE</x:v>
      </x:c>
      <x:c r="J13" s="31" t="str">
        <x:v>shared prep -1; overlap +0</x:v>
      </x:c>
      <x:c r="K13" s="31" t="str">
        <x:v>YES</x:v>
      </x:c>
      <x:c r="L13" s="31" t="str"/>
      <x:c r="M13" s="31" t="str"/>
      <x:c r="N13" s="31" t="str">
        <x:v>BLOCKER FIX — formerly destructive overlap</x:v>
      </x:c>
    </x:row>
    <x:row r="14">
      <x:c r="A14" s="31" t="n">
        <x:v>2</x:v>
      </x:c>
      <x:c r="B14" s="31" t="str">
        <x:v>BT</x:v>
      </x:c>
      <x:c r="C14" s="31" t="str">
        <x:v>MS</x:v>
      </x:c>
      <x:c r="D14" s="31" t="str"/>
      <x:c r="E14" s="31" t="str">
        <x:v>BT + MS</x:v>
      </x:c>
      <x:c r="F14" s="31" t="n">
        <x:v>6</x:v>
      </x:c>
      <x:c r="G14" s="31" t="n">
        <x:f>Parameters!$F$4</x:f>
        <x:v>5</x:v>
      </x:c>
      <x:c r="H14" s="31" t="n">
        <x:f>G14-F14</x:f>
        <x:v>-1</x:v>
      </x:c>
      <x:c r="I14" s="31" t="str">
        <x:f>IF(H14&gt;=3,"SAFE",IF(H14&gt;=1,"LIGHT",IF(H14=0,"EDGE",IF(H14&gt;=-2,"PRESSURE","OVERLOAD"))))</x:f>
        <x:v>PRESSURE</x:v>
      </x:c>
      <x:c r="J14" s="31" t="str"/>
      <x:c r="K14" s="31" t="str"/>
      <x:c r="L14" s="31" t="str"/>
      <x:c r="M14" s="31" t="str"/>
      <x:c r="N14" s="31" t="str"/>
    </x:row>
    <x:row r="15">
      <x:c r="A15" s="31" t="n">
        <x:v>2</x:v>
      </x:c>
      <x:c r="B15" s="31" t="str">
        <x:v>BT</x:v>
      </x:c>
      <x:c r="C15" s="31" t="str">
        <x:v>LH</x:v>
      </x:c>
      <x:c r="D15" s="31" t="str"/>
      <x:c r="E15" s="31" t="str">
        <x:v>BT + LH</x:v>
      </x:c>
      <x:c r="F15" s="31" t="n">
        <x:v>6</x:v>
      </x:c>
      <x:c r="G15" s="31" t="n">
        <x:f>Parameters!$F$4</x:f>
        <x:v>5</x:v>
      </x:c>
      <x:c r="H15" s="31" t="n">
        <x:f>G15-F15</x:f>
        <x:v>-1</x:v>
      </x:c>
      <x:c r="I15" s="31" t="str">
        <x:f>IF(H15&gt;=3,"SAFE",IF(H15&gt;=1,"LIGHT",IF(H15=0,"EDGE",IF(H15&gt;=-2,"PRESSURE","OVERLOAD"))))</x:f>
        <x:v>PRESSURE</x:v>
      </x:c>
      <x:c r="J15" s="31" t="str"/>
      <x:c r="K15" s="31" t="str"/>
      <x:c r="L15" s="31" t="str"/>
      <x:c r="M15" s="31" t="str"/>
      <x:c r="N15" s="31" t="str"/>
    </x:row>
    <x:row r="16">
      <x:c r="A16" s="31" t="n">
        <x:v>2</x:v>
      </x:c>
      <x:c r="B16" s="31" t="str">
        <x:v>B5</x:v>
      </x:c>
      <x:c r="C16" s="31" t="str">
        <x:v>MS</x:v>
      </x:c>
      <x:c r="D16" s="31" t="str"/>
      <x:c r="E16" s="31" t="str">
        <x:v>B5 + MS</x:v>
      </x:c>
      <x:c r="F16" s="31" t="n">
        <x:v>9</x:v>
      </x:c>
      <x:c r="G16" s="31" t="n">
        <x:f>Parameters!$F$4</x:f>
        <x:v>5</x:v>
      </x:c>
      <x:c r="H16" s="31" t="n">
        <x:f>G16-F16</x:f>
        <x:v>-4</x:v>
      </x:c>
      <x:c r="I16" s="31" t="str">
        <x:f>IF(H16&gt;=3,"SAFE",IF(H16&gt;=1,"LIGHT",IF(H16=0,"EDGE",IF(H16&gt;=-2,"PRESSURE","OVERLOAD"))))</x:f>
        <x:v>OVERLOAD</x:v>
      </x:c>
      <x:c r="J16" s="31" t="str"/>
      <x:c r="K16" s="31" t="str"/>
      <x:c r="L16" s="31" t="str"/>
      <x:c r="M16" s="31" t="str"/>
      <x:c r="N16" s="31" t="str"/>
    </x:row>
    <x:row r="17">
      <x:c r="A17" s="31" t="n">
        <x:v>2</x:v>
      </x:c>
      <x:c r="B17" s="31" t="str">
        <x:v>B5</x:v>
      </x:c>
      <x:c r="C17" s="31" t="str">
        <x:v>LH</x:v>
      </x:c>
      <x:c r="D17" s="31" t="str"/>
      <x:c r="E17" s="31" t="str">
        <x:v>B5 + LH</x:v>
      </x:c>
      <x:c r="F17" s="31" t="n">
        <x:v>9</x:v>
      </x:c>
      <x:c r="G17" s="31" t="n">
        <x:f>Parameters!$F$4</x:f>
        <x:v>5</x:v>
      </x:c>
      <x:c r="H17" s="31" t="n">
        <x:f>G17-F17</x:f>
        <x:v>-4</x:v>
      </x:c>
      <x:c r="I17" s="31" t="str">
        <x:f>IF(H17&gt;=3,"SAFE",IF(H17&gt;=1,"LIGHT",IF(H17=0,"EDGE",IF(H17&gt;=-2,"PRESSURE","OVERLOAD"))))</x:f>
        <x:v>OVERLOAD</x:v>
      </x:c>
      <x:c r="J17" s="31" t="str"/>
      <x:c r="K17" s="31" t="str"/>
      <x:c r="L17" s="31" t="str"/>
      <x:c r="M17" s="31" t="str"/>
      <x:c r="N17" s="31" t="str"/>
    </x:row>
    <x:row r="18">
      <x:c r="A18" s="31" t="n">
        <x:v>2</x:v>
      </x:c>
      <x:c r="B18" s="31" t="str">
        <x:v>MS</x:v>
      </x:c>
      <x:c r="C18" s="31" t="str">
        <x:v>LH</x:v>
      </x:c>
      <x:c r="D18" s="31" t="str"/>
      <x:c r="E18" s="31" t="str">
        <x:v>MS + LH</x:v>
      </x:c>
      <x:c r="F18" s="31" t="n">
        <x:v>10</x:v>
      </x:c>
      <x:c r="G18" s="31" t="n">
        <x:f>Parameters!$F$4</x:f>
        <x:v>5</x:v>
      </x:c>
      <x:c r="H18" s="31" t="n">
        <x:f>G18-F18</x:f>
        <x:v>-5</x:v>
      </x:c>
      <x:c r="I18" s="31" t="str">
        <x:f>IF(H18&gt;=3,"SAFE",IF(H18&gt;=1,"LIGHT",IF(H18=0,"EDGE",IF(H18&gt;=-2,"PRESSURE","OVERLOAD"))))</x:f>
        <x:v>OVERLOAD</x:v>
      </x:c>
      <x:c r="J18" s="31" t="str">
        <x:v>overlap +2</x:v>
      </x:c>
      <x:c r="K18" s="31" t="str">
        <x:v>YES</x:v>
      </x:c>
      <x:c r="L18" s="31" t="str"/>
      <x:c r="M18" s="31" t="str"/>
      <x:c r="N18" s="31" t="str">
        <x:v>STRESS — formerly shared-token conflict; expected near deadline</x:v>
      </x:c>
    </x:row>
    <x:row r="19">
      <x:c r="A19" s="31" t="n">
        <x:v>3</x:v>
      </x:c>
      <x:c r="B19" s="31" t="str">
        <x:v>ST</x:v>
      </x:c>
      <x:c r="C19" s="31" t="str">
        <x:v>OT</x:v>
      </x:c>
      <x:c r="D19" s="31" t="str">
        <x:v>BT</x:v>
      </x:c>
      <x:c r="E19" s="31" t="str">
        <x:v>ST + OT + BT</x:v>
      </x:c>
      <x:c r="F19" s="31" t="n">
        <x:v>6</x:v>
      </x:c>
      <x:c r="G19" s="31" t="n">
        <x:f>Parameters!$F$4</x:f>
        <x:v>5</x:v>
      </x:c>
      <x:c r="H19" s="31" t="n">
        <x:f>G19-F19</x:f>
        <x:v>-1</x:v>
      </x:c>
      <x:c r="I19" s="31" t="str">
        <x:f>IF(H19&gt;=3,"SAFE",IF(H19&gt;=1,"LIGHT",IF(H19=0,"EDGE",IF(H19&gt;=-2,"PRESSURE","OVERLOAD"))))</x:f>
        <x:v>PRESSURE</x:v>
      </x:c>
      <x:c r="J19" s="31" t="str"/>
      <x:c r="K19" s="31" t="str"/>
      <x:c r="L19" s="31" t="str"/>
      <x:c r="M19" s="31" t="str"/>
      <x:c r="N19" s="31" t="str"/>
    </x:row>
    <x:row r="20">
      <x:c r="A20" s="31" t="n">
        <x:v>3</x:v>
      </x:c>
      <x:c r="B20" s="31" t="str">
        <x:v>ST</x:v>
      </x:c>
      <x:c r="C20" s="31" t="str">
        <x:v>OT</x:v>
      </x:c>
      <x:c r="D20" s="31" t="str">
        <x:v>B5</x:v>
      </x:c>
      <x:c r="E20" s="31" t="str">
        <x:v>ST + OT + B5</x:v>
      </x:c>
      <x:c r="F20" s="31" t="n">
        <x:v>9</x:v>
      </x:c>
      <x:c r="G20" s="31" t="n">
        <x:f>Parameters!$F$4</x:f>
        <x:v>5</x:v>
      </x:c>
      <x:c r="H20" s="31" t="n">
        <x:f>G20-F20</x:f>
        <x:v>-4</x:v>
      </x:c>
      <x:c r="I20" s="31" t="str">
        <x:f>IF(H20&gt;=3,"SAFE",IF(H20&gt;=1,"LIGHT",IF(H20=0,"EDGE",IF(H20&gt;=-2,"PRESSURE","OVERLOAD"))))</x:f>
        <x:v>OVERLOAD</x:v>
      </x:c>
      <x:c r="J20" s="31" t="str"/>
      <x:c r="K20" s="31" t="str"/>
      <x:c r="L20" s="31" t="str"/>
      <x:c r="M20" s="31" t="str"/>
      <x:c r="N20" s="31" t="str"/>
    </x:row>
    <x:row r="21">
      <x:c r="A21" s="31" t="n">
        <x:v>3</x:v>
      </x:c>
      <x:c r="B21" s="31" t="str">
        <x:v>ST</x:v>
      </x:c>
      <x:c r="C21" s="31" t="str">
        <x:v>OT</x:v>
      </x:c>
      <x:c r="D21" s="31" t="str">
        <x:v>MS</x:v>
      </x:c>
      <x:c r="E21" s="31" t="str">
        <x:v>ST + OT + MS</x:v>
      </x:c>
      <x:c r="F21" s="31" t="n">
        <x:v>7</x:v>
      </x:c>
      <x:c r="G21" s="31" t="n">
        <x:f>Parameters!$F$4</x:f>
        <x:v>5</x:v>
      </x:c>
      <x:c r="H21" s="31" t="n">
        <x:f>G21-F21</x:f>
        <x:v>-2</x:v>
      </x:c>
      <x:c r="I21" s="31" t="str">
        <x:f>IF(H21&gt;=3,"SAFE",IF(H21&gt;=1,"LIGHT",IF(H21=0,"EDGE",IF(H21&gt;=-2,"PRESSURE","OVERLOAD"))))</x:f>
        <x:v>PRESSURE</x:v>
      </x:c>
      <x:c r="J21" s="31" t="str">
        <x:v>overlap +0; shared prep -1</x:v>
      </x:c>
      <x:c r="K21" s="31" t="str"/>
      <x:c r="L21" s="31" t="str"/>
      <x:c r="M21" s="31" t="str"/>
      <x:c r="N21" s="31" t="str"/>
    </x:row>
    <x:row r="22">
      <x:c r="A22" s="31" t="n">
        <x:v>3</x:v>
      </x:c>
      <x:c r="B22" s="31" t="str">
        <x:v>ST</x:v>
      </x:c>
      <x:c r="C22" s="31" t="str">
        <x:v>OT</x:v>
      </x:c>
      <x:c r="D22" s="31" t="str">
        <x:v>LH</x:v>
      </x:c>
      <x:c r="E22" s="31" t="str">
        <x:v>ST + OT + LH</x:v>
      </x:c>
      <x:c r="F22" s="31" t="n">
        <x:v>8</x:v>
      </x:c>
      <x:c r="G22" s="31" t="n">
        <x:f>Parameters!$F$4</x:f>
        <x:v>5</x:v>
      </x:c>
      <x:c r="H22" s="31" t="n">
        <x:f>G22-F22</x:f>
        <x:v>-3</x:v>
      </x:c>
      <x:c r="I22" s="31" t="str">
        <x:f>IF(H22&gt;=3,"SAFE",IF(H22&gt;=1,"LIGHT",IF(H22=0,"EDGE",IF(H22&gt;=-2,"PRESSURE","OVERLOAD"))))</x:f>
        <x:v>OVERLOAD</x:v>
      </x:c>
      <x:c r="J22" s="31" t="str">
        <x:v>overlap +0</x:v>
      </x:c>
      <x:c r="K22" s="31" t="str"/>
      <x:c r="L22" s="31" t="str"/>
      <x:c r="M22" s="31" t="str"/>
      <x:c r="N22" s="31" t="str"/>
    </x:row>
    <x:row r="23">
      <x:c r="A23" s="31" t="n">
        <x:v>3</x:v>
      </x:c>
      <x:c r="B23" s="31" t="str">
        <x:v>ST</x:v>
      </x:c>
      <x:c r="C23" s="31" t="str">
        <x:v>BT</x:v>
      </x:c>
      <x:c r="D23" s="31" t="str">
        <x:v>B5</x:v>
      </x:c>
      <x:c r="E23" s="31" t="str">
        <x:v>ST + BT + B5</x:v>
      </x:c>
      <x:c r="F23" s="31" t="n">
        <x:v>8</x:v>
      </x:c>
      <x:c r="G23" s="31" t="n">
        <x:f>Parameters!$F$4</x:f>
        <x:v>5</x:v>
      </x:c>
      <x:c r="H23" s="31" t="n">
        <x:f>G23-F23</x:f>
        <x:v>-3</x:v>
      </x:c>
      <x:c r="I23" s="31" t="str">
        <x:f>IF(H23&gt;=3,"SAFE",IF(H23&gt;=1,"LIGHT",IF(H23=0,"EDGE",IF(H23&gt;=-2,"PRESSURE","OVERLOAD"))))</x:f>
        <x:v>OVERLOAD</x:v>
      </x:c>
      <x:c r="J23" s="31" t="str">
        <x:v>shared prep -1; overlap +0</x:v>
      </x:c>
      <x:c r="K23" s="31" t="str"/>
      <x:c r="L23" s="31" t="str"/>
      <x:c r="M23" s="31" t="str"/>
      <x:c r="N23" s="31" t="str"/>
    </x:row>
    <x:row r="24">
      <x:c r="A24" s="31" t="n">
        <x:v>3</x:v>
      </x:c>
      <x:c r="B24" s="31" t="str">
        <x:v>ST</x:v>
      </x:c>
      <x:c r="C24" s="31" t="str">
        <x:v>BT</x:v>
      </x:c>
      <x:c r="D24" s="31" t="str">
        <x:v>MS</x:v>
      </x:c>
      <x:c r="E24" s="31" t="str">
        <x:v>ST + BT + MS</x:v>
      </x:c>
      <x:c r="F24" s="31" t="n">
        <x:v>8</x:v>
      </x:c>
      <x:c r="G24" s="31" t="n">
        <x:f>Parameters!$F$4</x:f>
        <x:v>5</x:v>
      </x:c>
      <x:c r="H24" s="31" t="n">
        <x:f>G24-F24</x:f>
        <x:v>-3</x:v>
      </x:c>
      <x:c r="I24" s="31" t="str">
        <x:f>IF(H24&gt;=3,"SAFE",IF(H24&gt;=1,"LIGHT",IF(H24=0,"EDGE",IF(H24&gt;=-2,"PRESSURE","OVERLOAD"))))</x:f>
        <x:v>OVERLOAD</x:v>
      </x:c>
      <x:c r="J24" s="31" t="str">
        <x:v>overlap +0</x:v>
      </x:c>
      <x:c r="K24" s="31" t="str"/>
      <x:c r="L24" s="31" t="str"/>
      <x:c r="M24" s="31" t="str"/>
      <x:c r="N24" s="31" t="str"/>
    </x:row>
    <x:row r="25">
      <x:c r="A25" s="31" t="n">
        <x:v>3</x:v>
      </x:c>
      <x:c r="B25" s="31" t="str">
        <x:v>ST</x:v>
      </x:c>
      <x:c r="C25" s="31" t="str">
        <x:v>BT</x:v>
      </x:c>
      <x:c r="D25" s="31" t="str">
        <x:v>LH</x:v>
      </x:c>
      <x:c r="E25" s="31" t="str">
        <x:v>ST + BT + LH</x:v>
      </x:c>
      <x:c r="F25" s="31" t="n">
        <x:v>8</x:v>
      </x:c>
      <x:c r="G25" s="31" t="n">
        <x:f>Parameters!$F$4</x:f>
        <x:v>5</x:v>
      </x:c>
      <x:c r="H25" s="31" t="n">
        <x:f>G25-F25</x:f>
        <x:v>-3</x:v>
      </x:c>
      <x:c r="I25" s="31" t="str">
        <x:f>IF(H25&gt;=3,"SAFE",IF(H25&gt;=1,"LIGHT",IF(H25=0,"EDGE",IF(H25&gt;=-2,"PRESSURE","OVERLOAD"))))</x:f>
        <x:v>OVERLOAD</x:v>
      </x:c>
      <x:c r="J25" s="31" t="str">
        <x:v>overlap +0</x:v>
      </x:c>
      <x:c r="K25" s="31" t="str"/>
      <x:c r="L25" s="31" t="str"/>
      <x:c r="M25" s="31" t="str"/>
      <x:c r="N25" s="31" t="str"/>
    </x:row>
    <x:row r="26">
      <x:c r="A26" s="31" t="n">
        <x:v>3</x:v>
      </x:c>
      <x:c r="B26" s="31" t="str">
        <x:v>ST</x:v>
      </x:c>
      <x:c r="C26" s="31" t="str">
        <x:v>B5</x:v>
      </x:c>
      <x:c r="D26" s="31" t="str">
        <x:v>MS</x:v>
      </x:c>
      <x:c r="E26" s="31" t="str">
        <x:v>ST + B5 + MS</x:v>
      </x:c>
      <x:c r="F26" s="31" t="n">
        <x:v>11</x:v>
      </x:c>
      <x:c r="G26" s="31" t="n">
        <x:f>Parameters!$F$4</x:f>
        <x:v>5</x:v>
      </x:c>
      <x:c r="H26" s="31" t="n">
        <x:f>G26-F26</x:f>
        <x:v>-6</x:v>
      </x:c>
      <x:c r="I26" s="31" t="str">
        <x:f>IF(H26&gt;=3,"SAFE",IF(H26&gt;=1,"LIGHT",IF(H26=0,"EDGE",IF(H26&gt;=-2,"PRESSURE","OVERLOAD"))))</x:f>
        <x:v>OVERLOAD</x:v>
      </x:c>
      <x:c r="J26" s="31" t="str">
        <x:v>overlap +0</x:v>
      </x:c>
      <x:c r="K26" s="31" t="str"/>
      <x:c r="L26" s="31" t="str"/>
      <x:c r="M26" s="31" t="str"/>
      <x:c r="N26" s="31" t="str"/>
    </x:row>
    <x:row r="27">
      <x:c r="A27" s="31" t="n">
        <x:v>3</x:v>
      </x:c>
      <x:c r="B27" s="31" t="str">
        <x:v>ST</x:v>
      </x:c>
      <x:c r="C27" s="31" t="str">
        <x:v>B5</x:v>
      </x:c>
      <x:c r="D27" s="31" t="str">
        <x:v>LH</x:v>
      </x:c>
      <x:c r="E27" s="31" t="str">
        <x:v>ST + B5 + LH</x:v>
      </x:c>
      <x:c r="F27" s="31" t="n">
        <x:v>11</x:v>
      </x:c>
      <x:c r="G27" s="31" t="n">
        <x:f>Parameters!$F$4</x:f>
        <x:v>5</x:v>
      </x:c>
      <x:c r="H27" s="31" t="n">
        <x:f>G27-F27</x:f>
        <x:v>-6</x:v>
      </x:c>
      <x:c r="I27" s="31" t="str">
        <x:f>IF(H27&gt;=3,"SAFE",IF(H27&gt;=1,"LIGHT",IF(H27=0,"EDGE",IF(H27&gt;=-2,"PRESSURE","OVERLOAD"))))</x:f>
        <x:v>OVERLOAD</x:v>
      </x:c>
      <x:c r="J27" s="31" t="str">
        <x:v>overlap +0</x:v>
      </x:c>
      <x:c r="K27" s="31" t="str"/>
      <x:c r="L27" s="31" t="str"/>
      <x:c r="M27" s="31" t="str"/>
      <x:c r="N27" s="31" t="str"/>
    </x:row>
    <x:row r="28">
      <x:c r="A28" s="31" t="n">
        <x:v>3</x:v>
      </x:c>
      <x:c r="B28" s="31" t="str">
        <x:v>ST</x:v>
      </x:c>
      <x:c r="C28" s="31" t="str">
        <x:v>MS</x:v>
      </x:c>
      <x:c r="D28" s="31" t="str">
        <x:v>LH</x:v>
      </x:c>
      <x:c r="E28" s="31" t="str">
        <x:v>ST + MS + LH</x:v>
      </x:c>
      <x:c r="F28" s="31" t="n">
        <x:v>12</x:v>
      </x:c>
      <x:c r="G28" s="31" t="n">
        <x:f>Parameters!$F$4</x:f>
        <x:v>5</x:v>
      </x:c>
      <x:c r="H28" s="31" t="n">
        <x:f>G28-F28</x:f>
        <x:v>-7</x:v>
      </x:c>
      <x:c r="I28" s="31" t="str">
        <x:f>IF(H28&gt;=3,"SAFE",IF(H28&gt;=1,"LIGHT",IF(H28=0,"EDGE",IF(H28&gt;=-2,"PRESSURE","OVERLOAD"))))</x:f>
        <x:v>OVERLOAD</x:v>
      </x:c>
      <x:c r="J28" s="31" t="str">
        <x:v>overlap +0; overlap +0; overlap +2</x:v>
      </x:c>
      <x:c r="K28" s="31" t="str"/>
      <x:c r="L28" s="31" t="str"/>
      <x:c r="M28" s="31" t="str"/>
      <x:c r="N28" s="31" t="str"/>
    </x:row>
    <x:row r="29">
      <x:c r="A29" s="31" t="n">
        <x:v>3</x:v>
      </x:c>
      <x:c r="B29" s="31" t="str">
        <x:v>OT</x:v>
      </x:c>
      <x:c r="C29" s="31" t="str">
        <x:v>BT</x:v>
      </x:c>
      <x:c r="D29" s="31" t="str">
        <x:v>B5</x:v>
      </x:c>
      <x:c r="E29" s="31" t="str">
        <x:v>OT + BT + B5</x:v>
      </x:c>
      <x:c r="F29" s="31" t="n">
        <x:v>8</x:v>
      </x:c>
      <x:c r="G29" s="31" t="n">
        <x:f>Parameters!$F$4</x:f>
        <x:v>5</x:v>
      </x:c>
      <x:c r="H29" s="31" t="n">
        <x:f>G29-F29</x:f>
        <x:v>-3</x:v>
      </x:c>
      <x:c r="I29" s="31" t="str">
        <x:f>IF(H29&gt;=3,"SAFE",IF(H29&gt;=1,"LIGHT",IF(H29=0,"EDGE",IF(H29&gt;=-2,"PRESSURE","OVERLOAD"))))</x:f>
        <x:v>OVERLOAD</x:v>
      </x:c>
      <x:c r="J29" s="31" t="str">
        <x:v>shared prep -1; overlap +0</x:v>
      </x:c>
      <x:c r="K29" s="31" t="str"/>
      <x:c r="L29" s="31" t="str"/>
      <x:c r="M29" s="31" t="str"/>
      <x:c r="N29" s="31" t="str"/>
    </x:row>
    <x:row r="30">
      <x:c r="A30" s="31" t="n">
        <x:v>3</x:v>
      </x:c>
      <x:c r="B30" s="31" t="str">
        <x:v>OT</x:v>
      </x:c>
      <x:c r="C30" s="31" t="str">
        <x:v>BT</x:v>
      </x:c>
      <x:c r="D30" s="31" t="str">
        <x:v>MS</x:v>
      </x:c>
      <x:c r="E30" s="31" t="str">
        <x:v>OT + BT + MS</x:v>
      </x:c>
      <x:c r="F30" s="31" t="n">
        <x:v>7</x:v>
      </x:c>
      <x:c r="G30" s="31" t="n">
        <x:f>Parameters!$F$4</x:f>
        <x:v>5</x:v>
      </x:c>
      <x:c r="H30" s="31" t="n">
        <x:f>G30-F30</x:f>
        <x:v>-2</x:v>
      </x:c>
      <x:c r="I30" s="31" t="str">
        <x:f>IF(H30&gt;=3,"SAFE",IF(H30&gt;=1,"LIGHT",IF(H30=0,"EDGE",IF(H30&gt;=-2,"PRESSURE","OVERLOAD"))))</x:f>
        <x:v>PRESSURE</x:v>
      </x:c>
      <x:c r="J30" s="31" t="str">
        <x:v>shared prep -1</x:v>
      </x:c>
      <x:c r="K30" s="31" t="str"/>
      <x:c r="L30" s="31" t="str"/>
      <x:c r="M30" s="31" t="str"/>
      <x:c r="N30" s="31" t="str"/>
    </x:row>
    <x:row r="31">
      <x:c r="A31" s="31" t="n">
        <x:v>3</x:v>
      </x:c>
      <x:c r="B31" s="31" t="str">
        <x:v>OT</x:v>
      </x:c>
      <x:c r="C31" s="31" t="str">
        <x:v>BT</x:v>
      </x:c>
      <x:c r="D31" s="31" t="str">
        <x:v>LH</x:v>
      </x:c>
      <x:c r="E31" s="31" t="str">
        <x:v>OT + BT + LH</x:v>
      </x:c>
      <x:c r="F31" s="31" t="n">
        <x:v>8</x:v>
      </x:c>
      <x:c r="G31" s="31" t="n">
        <x:f>Parameters!$F$4</x:f>
        <x:v>5</x:v>
      </x:c>
      <x:c r="H31" s="31" t="n">
        <x:f>G31-F31</x:f>
        <x:v>-3</x:v>
      </x:c>
      <x:c r="I31" s="31" t="str">
        <x:f>IF(H31&gt;=3,"SAFE",IF(H31&gt;=1,"LIGHT",IF(H31=0,"EDGE",IF(H31&gt;=-2,"PRESSURE","OVERLOAD"))))</x:f>
        <x:v>OVERLOAD</x:v>
      </x:c>
      <x:c r="J31" s="31" t="str"/>
      <x:c r="K31" s="31" t="str"/>
      <x:c r="L31" s="31" t="str"/>
      <x:c r="M31" s="31" t="str"/>
      <x:c r="N31" s="31" t="str"/>
    </x:row>
    <x:row r="32">
      <x:c r="A32" s="31" t="n">
        <x:v>3</x:v>
      </x:c>
      <x:c r="B32" s="31" t="str">
        <x:v>OT</x:v>
      </x:c>
      <x:c r="C32" s="31" t="str">
        <x:v>B5</x:v>
      </x:c>
      <x:c r="D32" s="31" t="str">
        <x:v>MS</x:v>
      </x:c>
      <x:c r="E32" s="31" t="str">
        <x:v>OT + B5 + MS</x:v>
      </x:c>
      <x:c r="F32" s="31" t="n">
        <x:v>10</x:v>
      </x:c>
      <x:c r="G32" s="31" t="n">
        <x:f>Parameters!$F$4</x:f>
        <x:v>5</x:v>
      </x:c>
      <x:c r="H32" s="31" t="n">
        <x:f>G32-F32</x:f>
        <x:v>-5</x:v>
      </x:c>
      <x:c r="I32" s="31" t="str">
        <x:f>IF(H32&gt;=3,"SAFE",IF(H32&gt;=1,"LIGHT",IF(H32=0,"EDGE",IF(H32&gt;=-2,"PRESSURE","OVERLOAD"))))</x:f>
        <x:v>OVERLOAD</x:v>
      </x:c>
      <x:c r="J32" s="31" t="str">
        <x:v>shared prep -1</x:v>
      </x:c>
      <x:c r="K32" s="31" t="str"/>
      <x:c r="L32" s="31" t="str"/>
      <x:c r="M32" s="31" t="str"/>
      <x:c r="N32" s="31" t="str"/>
    </x:row>
    <x:row r="33">
      <x:c r="A33" s="31" t="n">
        <x:v>3</x:v>
      </x:c>
      <x:c r="B33" s="31" t="str">
        <x:v>OT</x:v>
      </x:c>
      <x:c r="C33" s="31" t="str">
        <x:v>B5</x:v>
      </x:c>
      <x:c r="D33" s="31" t="str">
        <x:v>LH</x:v>
      </x:c>
      <x:c r="E33" s="31" t="str">
        <x:v>OT + B5 + LH</x:v>
      </x:c>
      <x:c r="F33" s="31" t="n">
        <x:v>11</x:v>
      </x:c>
      <x:c r="G33" s="31" t="n">
        <x:f>Parameters!$F$4</x:f>
        <x:v>5</x:v>
      </x:c>
      <x:c r="H33" s="31" t="n">
        <x:f>G33-F33</x:f>
        <x:v>-6</x:v>
      </x:c>
      <x:c r="I33" s="31" t="str">
        <x:f>IF(H33&gt;=3,"SAFE",IF(H33&gt;=1,"LIGHT",IF(H33=0,"EDGE",IF(H33&gt;=-2,"PRESSURE","OVERLOAD"))))</x:f>
        <x:v>OVERLOAD</x:v>
      </x:c>
      <x:c r="J33" s="31" t="str"/>
      <x:c r="K33" s="31" t="str"/>
      <x:c r="L33" s="31" t="str"/>
      <x:c r="M33" s="31" t="str"/>
      <x:c r="N33" s="31" t="str"/>
    </x:row>
    <x:row r="34">
      <x:c r="A34" s="31" t="n">
        <x:v>3</x:v>
      </x:c>
      <x:c r="B34" s="31" t="str">
        <x:v>OT</x:v>
      </x:c>
      <x:c r="C34" s="31" t="str">
        <x:v>MS</x:v>
      </x:c>
      <x:c r="D34" s="31" t="str">
        <x:v>LH</x:v>
      </x:c>
      <x:c r="E34" s="31" t="str">
        <x:v>OT + MS + LH</x:v>
      </x:c>
      <x:c r="F34" s="31" t="n">
        <x:v>11</x:v>
      </x:c>
      <x:c r="G34" s="31" t="n">
        <x:f>Parameters!$F$4</x:f>
        <x:v>5</x:v>
      </x:c>
      <x:c r="H34" s="31" t="n">
        <x:f>G34-F34</x:f>
        <x:v>-6</x:v>
      </x:c>
      <x:c r="I34" s="31" t="str">
        <x:f>IF(H34&gt;=3,"SAFE",IF(H34&gt;=1,"LIGHT",IF(H34=0,"EDGE",IF(H34&gt;=-2,"PRESSURE","OVERLOAD"))))</x:f>
        <x:v>OVERLOAD</x:v>
      </x:c>
      <x:c r="J34" s="31" t="str">
        <x:v>shared prep -1; overlap +2</x:v>
      </x:c>
      <x:c r="K34" s="31" t="str"/>
      <x:c r="L34" s="31" t="str"/>
      <x:c r="M34" s="31" t="str"/>
      <x:c r="N34" s="31" t="str"/>
    </x:row>
    <x:row r="35">
      <x:c r="A35" s="31" t="n">
        <x:v>3</x:v>
      </x:c>
      <x:c r="B35" s="31" t="str">
        <x:v>BT</x:v>
      </x:c>
      <x:c r="C35" s="31" t="str">
        <x:v>B5</x:v>
      </x:c>
      <x:c r="D35" s="31" t="str">
        <x:v>MS</x:v>
      </x:c>
      <x:c r="E35" s="31" t="str">
        <x:v>BT + B5 + MS</x:v>
      </x:c>
      <x:c r="F35" s="31" t="n">
        <x:v>10</x:v>
      </x:c>
      <x:c r="G35" s="31" t="n">
        <x:f>Parameters!$F$4</x:f>
        <x:v>5</x:v>
      </x:c>
      <x:c r="H35" s="31" t="n">
        <x:f>G35-F35</x:f>
        <x:v>-5</x:v>
      </x:c>
      <x:c r="I35" s="31" t="str">
        <x:f>IF(H35&gt;=3,"SAFE",IF(H35&gt;=1,"LIGHT",IF(H35=0,"EDGE",IF(H35&gt;=-2,"PRESSURE","OVERLOAD"))))</x:f>
        <x:v>OVERLOAD</x:v>
      </x:c>
      <x:c r="J35" s="31" t="str">
        <x:v>shared prep -1; overlap +0</x:v>
      </x:c>
      <x:c r="K35" s="31" t="str"/>
      <x:c r="L35" s="31" t="str"/>
      <x:c r="M35" s="31" t="str"/>
      <x:c r="N35" s="31" t="str"/>
    </x:row>
    <x:row r="36">
      <x:c r="A36" s="31" t="n">
        <x:v>3</x:v>
      </x:c>
      <x:c r="B36" s="31" t="str">
        <x:v>BT</x:v>
      </x:c>
      <x:c r="C36" s="31" t="str">
        <x:v>B5</x:v>
      </x:c>
      <x:c r="D36" s="31" t="str">
        <x:v>LH</x:v>
      </x:c>
      <x:c r="E36" s="31" t="str">
        <x:v>BT + B5 + LH</x:v>
      </x:c>
      <x:c r="F36" s="31" t="n">
        <x:v>10</x:v>
      </x:c>
      <x:c r="G36" s="31" t="n">
        <x:f>Parameters!$F$4</x:f>
        <x:v>5</x:v>
      </x:c>
      <x:c r="H36" s="31" t="n">
        <x:f>G36-F36</x:f>
        <x:v>-5</x:v>
      </x:c>
      <x:c r="I36" s="31" t="str">
        <x:f>IF(H36&gt;=3,"SAFE",IF(H36&gt;=1,"LIGHT",IF(H36=0,"EDGE",IF(H36&gt;=-2,"PRESSURE","OVERLOAD"))))</x:f>
        <x:v>OVERLOAD</x:v>
      </x:c>
      <x:c r="J36" s="31" t="str">
        <x:v>shared prep -1; overlap +0</x:v>
      </x:c>
      <x:c r="K36" s="31" t="str"/>
      <x:c r="L36" s="31" t="str"/>
      <x:c r="M36" s="31" t="str"/>
      <x:c r="N36" s="31" t="str"/>
    </x:row>
    <x:row r="37">
      <x:c r="A37" s="31" t="n">
        <x:v>3</x:v>
      </x:c>
      <x:c r="B37" s="31" t="str">
        <x:v>BT</x:v>
      </x:c>
      <x:c r="C37" s="31" t="str">
        <x:v>MS</x:v>
      </x:c>
      <x:c r="D37" s="31" t="str">
        <x:v>LH</x:v>
      </x:c>
      <x:c r="E37" s="31" t="str">
        <x:v>BT + MS + LH</x:v>
      </x:c>
      <x:c r="F37" s="31" t="n">
        <x:v>12</x:v>
      </x:c>
      <x:c r="G37" s="31" t="n">
        <x:f>Parameters!$F$4</x:f>
        <x:v>5</x:v>
      </x:c>
      <x:c r="H37" s="31" t="n">
        <x:f>G37-F37</x:f>
        <x:v>-7</x:v>
      </x:c>
      <x:c r="I37" s="31" t="str">
        <x:f>IF(H37&gt;=3,"SAFE",IF(H37&gt;=1,"LIGHT",IF(H37=0,"EDGE",IF(H37&gt;=-2,"PRESSURE","OVERLOAD"))))</x:f>
        <x:v>OVERLOAD</x:v>
      </x:c>
      <x:c r="J37" s="31" t="str">
        <x:v>overlap +2</x:v>
      </x:c>
      <x:c r="K37" s="31" t="str"/>
      <x:c r="L37" s="31" t="str"/>
      <x:c r="M37" s="31" t="str"/>
      <x:c r="N37" s="31" t="str"/>
    </x:row>
    <x:row r="38">
      <x:c r="A38" s="31" t="n">
        <x:v>3</x:v>
      </x:c>
      <x:c r="B38" s="31" t="str">
        <x:v>B5</x:v>
      </x:c>
      <x:c r="C38" s="31" t="str">
        <x:v>MS</x:v>
      </x:c>
      <x:c r="D38" s="31" t="str">
        <x:v>LH</x:v>
      </x:c>
      <x:c r="E38" s="31" t="str">
        <x:v>B5 + MS + LH</x:v>
      </x:c>
      <x:c r="F38" s="31" t="n">
        <x:v>15</x:v>
      </x:c>
      <x:c r="G38" s="31" t="n">
        <x:f>Parameters!$F$4</x:f>
        <x:v>5</x:v>
      </x:c>
      <x:c r="H38" s="31" t="n">
        <x:f>G38-F38</x:f>
        <x:v>-10</x:v>
      </x:c>
      <x:c r="I38" s="31" t="str">
        <x:f>IF(H38&gt;=3,"SAFE",IF(H38&gt;=1,"LIGHT",IF(H38=0,"EDGE",IF(H38&gt;=-2,"PRESSURE","OVERLOAD"))))</x:f>
        <x:v>OVERLOAD</x:v>
      </x:c>
      <x:c r="J38" s="31" t="str">
        <x:v>overlap +2</x:v>
      </x:c>
      <x:c r="K38" s="31" t="str"/>
      <x:c r="L38" s="31" t="str"/>
      <x:c r="M38" s="31" t="str"/>
      <x:c r="N38" s="31" t="str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</x:sheetData>
  <x:mergeCells>
    <x:mergeCell ref="A1:N1"/>
  </x:mergeCells>
  <x:conditionalFormatting sqref="H4:H38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conditionalFormatting sqref="K4:K38">
    <x:cfRule type="expression" dxfId="0" priority="2">
      <x:formula>K4="YES"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55" hidden="0" customWidth="1"/>
    <x:col min="9" max="9" width="15" hidden="0" customWidth="1"/>
  </x:cols>
  <x:sheetData>
    <x:row r="1">
      <x:c r="A1" s="30" t="str">
        <x:v>Observed smoke-tests 05–10 before MVP 0.4</x:v>
      </x:c>
      <x:c r="B1" s="30"/>
      <x:c r="C1" s="30"/>
      <x:c r="D1" s="30"/>
      <x:c r="E1" s="30"/>
      <x:c r="F1" s="30"/>
      <x:c r="G1" s="30"/>
      <x:c r="H1" s="30"/>
      <x:c r="I1" s="30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2" t="str">
        <x:v>Test</x:v>
      </x:c>
      <x:c r="B3" s="32" t="str">
        <x:v>Goals</x:v>
      </x:c>
      <x:c r="C3" s="32" t="str">
        <x:v>Result</x:v>
      </x:c>
      <x:c r="D3" s="32" t="str">
        <x:v>Turns</x:v>
      </x:c>
      <x:c r="E3" s="32" t="str">
        <x:v>Report fun</x:v>
      </x:c>
      <x:c r="F3" s="32" t="str">
        <x:v>REF fun</x:v>
      </x:c>
      <x:c r="G3" s="32" t="str">
        <x:v>Replay</x:v>
      </x:c>
      <x:c r="H3" s="32" t="str">
        <x:v>Signal</x:v>
      </x:c>
      <x:c r="I3" s="32" t="str">
        <x:v>Use</x:v>
      </x:c>
      <x:c r="J3" s="31"/>
      <x:c r="K3" s="31"/>
      <x:c r="L3" s="31"/>
      <x:c r="M3" s="31"/>
      <x:c r="N3" s="31"/>
    </x:row>
    <x:row r="4">
      <x:c r="A4" s="31" t="str">
        <x:v>05</x:v>
      </x:c>
      <x:c r="B4" s="31" t="str">
        <x:v>ST + OT</x:v>
      </x:c>
      <x:c r="C4" s="31" t="str">
        <x:v>WIN</x:v>
      </x:c>
      <x:c r="D4" s="31" t="n">
        <x:v>4</x:v>
      </x:c>
      <x:c r="E4" s="31" t="n">
        <x:v>2</x:v>
      </x:c>
      <x:c r="F4" s="31" t="n">
        <x:v>2</x:v>
      </x:c>
      <x:c r="G4" s="31" t="n">
        <x:v>1</x:v>
      </x:c>
      <x:c r="H4" s="31" t="str">
        <x:v>Threat changed order only slightly; opening still deterministic.</x:v>
      </x:c>
      <x:c r="I4" s="31" t="str">
        <x:v>baseline only</x:v>
      </x:c>
      <x:c r="J4" s="31"/>
      <x:c r="K4" s="31"/>
      <x:c r="L4" s="31"/>
      <x:c r="M4" s="31"/>
      <x:c r="N4" s="31"/>
    </x:row>
    <x:row r="5">
      <x:c r="A5" s="31" t="str">
        <x:v>06</x:v>
      </x:c>
      <x:c r="B5" s="31" t="str">
        <x:v>ST + B4(old)</x:v>
      </x:c>
      <x:c r="C5" s="31" t="str">
        <x:v>WIN</x:v>
      </x:c>
      <x:c r="D5" s="31" t="n">
        <x:v>7</x:v>
      </x:c>
      <x:c r="E5" s="31" t="n">
        <x:v>3</x:v>
      </x:c>
      <x:c r="F5" s="31" t="n">
        <x:v>1</x:v>
      </x:c>
      <x:c r="G5" s="31" t="n">
        <x:v>1.5</x:v>
      </x:c>
      <x:c r="H5" s="31" t="str">
        <x:v>Found shorter accountant-error route; stale numbers already aiding memory.</x:v>
      </x:c>
      <x:c r="I5" s="31" t="str">
        <x:v>baseline only</x:v>
      </x:c>
      <x:c r="J5" s="31"/>
      <x:c r="K5" s="31"/>
      <x:c r="L5" s="31"/>
      <x:c r="M5" s="31"/>
      <x:c r="N5" s="31"/>
    </x:row>
    <x:row r="6">
      <x:c r="A6" s="31" t="str">
        <x:v>07</x:v>
      </x:c>
      <x:c r="B6" s="31" t="str">
        <x:v>OT + MS(old)</x:v>
      </x:c>
      <x:c r="C6" s="31" t="str">
        <x:v>WIN</x:v>
      </x:c>
      <x:c r="D6" s="31" t="n">
        <x:v>5</x:v>
      </x:c>
      <x:c r="E6" s="31" t="n">
        <x:v>2</x:v>
      </x:c>
      <x:c r="F6" s="31" t="n">
        <x:v>2</x:v>
      </x:c>
      <x:c r="G6" s="31" t="n">
        <x:v>1</x:v>
      </x:c>
      <x:c r="H6" s="31" t="str">
        <x:v>#REF! forced Overtime SUM before finishing 41 transfer.</x:v>
      </x:c>
      <x:c r="I6" s="31" t="str">
        <x:v>baseline only</x:v>
      </x:c>
      <x:c r="J6" s="31"/>
      <x:c r="K6" s="31"/>
      <x:c r="L6" s="31"/>
      <x:c r="M6" s="31"/>
      <x:c r="N6" s="31"/>
    </x:row>
    <x:row r="7">
      <x:c r="A7" s="31" t="str">
        <x:v>08</x:v>
      </x:c>
      <x:c r="B7" s="31" t="str">
        <x:v>BT + MS(old)</x:v>
      </x:c>
      <x:c r="C7" s="31" t="str">
        <x:v>WIN</x:v>
      </x:c>
      <x:c r="D7" s="31" t="n">
        <x:v>6</x:v>
      </x:c>
      <x:c r="E7" s="31" t="n">
        <x:v>2.5</x:v>
      </x:c>
      <x:c r="F7" s="31" t="n">
        <x:v>1.5</x:v>
      </x:c>
      <x:c r="G7" s="31" t="n">
        <x:v>1</x:v>
      </x:c>
      <x:c r="H7" s="31" t="str">
        <x:v>Potential to interrupt one task and buffer a needed token.</x:v>
      </x:c>
      <x:c r="I7" s="31" t="str">
        <x:v>baseline only</x:v>
      </x:c>
      <x:c r="J7" s="31"/>
      <x:c r="K7" s="31"/>
      <x:c r="L7" s="31"/>
      <x:c r="M7" s="31"/>
      <x:c r="N7" s="31"/>
    </x:row>
    <x:row r="8">
      <x:c r="A8" s="31" t="str">
        <x:v>09</x:v>
      </x:c>
      <x:c r="B8" s="31" t="str">
        <x:v>ST + OT + BT</x:v>
      </x:c>
      <x:c r="C8" s="31" t="str">
        <x:v>WIN</x:v>
      </x:c>
      <x:c r="D8" s="31" t="n">
        <x:v>8</x:v>
      </x:c>
      <x:c r="E8" s="31" t="n">
        <x:v>3</x:v>
      </x:c>
      <x:c r="F8" s="31" t="n">
        <x:v>3.5</x:v>
      </x:c>
      <x:c r="G8" s="31" t="n">
        <x:v>1</x:v>
      </x:c>
      <x:c r="H8" s="31" t="str">
        <x:v>Dynamic #REF! changed operation order and forced evacuation.</x:v>
      </x:c>
      <x:c r="I8" s="31" t="str">
        <x:v>baseline only</x:v>
      </x:c>
      <x:c r="J8" s="31"/>
      <x:c r="K8" s="31"/>
      <x:c r="L8" s="31"/>
      <x:c r="M8" s="31"/>
      <x:c r="N8" s="31"/>
    </x:row>
    <x:row r="9">
      <x:c r="A9" s="31" t="str">
        <x:v>10</x:v>
      </x:c>
      <x:c r="B9" s="31" t="str">
        <x:v>LH(old) + OT + BT</x:v>
      </x:c>
      <x:c r="C9" s="31" t="str">
        <x:v>WIN</x:v>
      </x:c>
      <x:c r="D9" s="31" t="n">
        <x:v>14</x:v>
      </x:c>
      <x:c r="E9" s="31" t="n">
        <x:v>3</x:v>
      </x:c>
      <x:c r="F9" s="31" t="n">
        <x:v>5</x:v>
      </x:c>
      <x:c r="G9" s="31" t="n">
        <x:v>2.5</x:v>
      </x:c>
      <x:c r="H9" s="31" t="str">
        <x:v>DELETE useful; headers moved; geometry reconstruction emerged.</x:v>
      </x:c>
      <x:c r="I9" s="31" t="str">
        <x:v>baseline only</x:v>
      </x:c>
      <x:c r="J9" s="31"/>
      <x:c r="K9" s="31"/>
      <x:c r="L9" s="31"/>
      <x:c r="M9" s="31"/>
      <x:c r="N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33" t="str">
        <x:v>Correction applied: smoke-test-10 actual goals were LH + OT + BT, not ST + OT + BT.</x:v>
      </x:c>
      <x:c r="B11" s="33"/>
      <x:c r="C11" s="33"/>
      <x:c r="D11" s="33"/>
      <x:c r="E11" s="33"/>
      <x:c r="F11" s="33"/>
      <x:c r="G11" s="33"/>
      <x:c r="H11" s="33"/>
      <x:c r="I11" s="33"/>
      <x:c r="J11" s="31"/>
      <x:c r="K11" s="31"/>
      <x:c r="L11" s="31"/>
      <x:c r="M11" s="31"/>
      <x:c r="N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</x:sheetData>
  <x:mergeCells>
    <x:mergeCell ref="A1:I1"/>
    <x:mergeCell ref="A11:I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5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5" hidden="0" customWidth="1"/>
  </x:cols>
  <x:sheetData>
    <x:row r="1">
      <x:c r="A1" s="30" t="str">
        <x:v>MVP 0.4 — next 5 smoke-tests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2" t="str">
        <x:v>Order</x:v>
      </x:c>
      <x:c r="B3" s="32" t="str">
        <x:v>Goals</x:v>
      </x:c>
      <x:c r="C3" s="32" t="str">
        <x:v>Model Cost</x:v>
      </x:c>
      <x:c r="D3" s="32" t="str">
        <x:v>Margin</x:v>
      </x:c>
      <x:c r="E3" s="32" t="str">
        <x:v>Expected band</x:v>
      </x:c>
      <x:c r="F3" s="32" t="str">
        <x:v>Purpose</x:v>
      </x:c>
      <x:c r="G3" s="32" t="str">
        <x:v>Win/Loss</x:v>
      </x:c>
      <x:c r="H3" s="32" t="str">
        <x:v>Turns</x:v>
      </x:c>
      <x:c r="I3" s="32" t="str">
        <x:v>Report fun 1–5</x:v>
      </x:c>
      <x:c r="J3" s="32" t="str">
        <x:v>#REF fun 1–5</x:v>
      </x:c>
      <x:c r="K3" s="32" t="str">
        <x:v>Replay 1–5</x:v>
      </x:c>
      <x:c r="L3" s="32" t="str">
        <x:v>Notes</x:v>
      </x:c>
      <x:c r="M3" s="31"/>
      <x:c r="N3" s="31"/>
    </x:row>
    <x:row r="4">
      <x:c r="A4" s="31" t="n">
        <x:v>1</x:v>
      </x:c>
      <x:c r="B4" s="31" t="str">
        <x:v>ST + OT</x:v>
      </x:c>
      <x:c r="C4" s="31" t="n">
        <x:v>4</x:v>
      </x:c>
      <x:c r="D4" s="31" t="n">
        <x:v>1</x:v>
      </x:c>
      <x:c r="E4" s="31" t="str">
        <x:v>LIGHT</x:v>
      </x:c>
      <x:c r="F4" s="31" t="str">
        <x:v>Control. Should remain easy; verify UI/telegraph and fresh-number memory reset.</x:v>
      </x:c>
      <x:c r="G4" s="31" t="str"/>
      <x:c r="H4" s="31" t="str"/>
      <x:c r="I4" s="31" t="str"/>
      <x:c r="J4" s="31" t="str"/>
      <x:c r="K4" s="31" t="str"/>
      <x:c r="L4" s="31" t="str"/>
      <x:c r="M4" s="31"/>
      <x:c r="N4" s="31"/>
    </x:row>
    <x:row r="5">
      <x:c r="A5" s="31" t="n">
        <x:v>2</x:v>
      </x:c>
      <x:c r="B5" s="31" t="str">
        <x:v>ST + B5</x:v>
      </x:c>
      <x:c r="C5" s="31" t="n">
        <x:v>7</x:v>
      </x:c>
      <x:c r="D5" s="31" t="n">
        <x:v>-2</x:v>
      </x:c>
      <x:c r="E5" s="31" t="str">
        <x:v>PRESSURE</x:v>
      </x:c>
      <x:c r="F5" s="31" t="str">
        <x:v>Compare against old smoke-06. Check whether subset solving remains meaningful without memorized values.</x:v>
      </x:c>
      <x:c r="G5" s="31" t="str"/>
      <x:c r="H5" s="31" t="str"/>
      <x:c r="I5" s="31" t="str"/>
      <x:c r="J5" s="31" t="str"/>
      <x:c r="K5" s="31" t="str"/>
      <x:c r="L5" s="31" t="str"/>
      <x:c r="M5" s="31"/>
      <x:c r="N5" s="31"/>
    </x:row>
    <x:row r="6">
      <x:c r="A6" s="31" t="n">
        <x:v>3</x:v>
      </x:c>
      <x:c r="B6" s="31" t="str">
        <x:v>OT + MS</x:v>
      </x:c>
      <x:c r="C6" s="31" t="n">
        <x:v>5</x:v>
      </x:c>
      <x:c r="D6" s="31" t="n">
        <x:v>0</x:v>
      </x:c>
      <x:c r="E6" s="31" t="str">
        <x:v>EDGE</x:v>
      </x:c>
      <x:c r="F6" s="31" t="str">
        <x:v>Compare against old smoke-07. Check whether #REF! still changes ordering around a shared Overtime sort.</x:v>
      </x:c>
      <x:c r="G6" s="31" t="str"/>
      <x:c r="H6" s="31" t="str"/>
      <x:c r="I6" s="31" t="str"/>
      <x:c r="J6" s="31" t="str"/>
      <x:c r="K6" s="31" t="str"/>
      <x:c r="L6" s="31" t="str"/>
      <x:c r="M6" s="31"/>
      <x:c r="N6" s="31"/>
    </x:row>
    <x:row r="7">
      <x:c r="A7" s="31" t="n">
        <x:v>4</x:v>
      </x:c>
      <x:c r="B7" s="31" t="str">
        <x:v>BT + B5</x:v>
      </x:c>
      <x:c r="C7" s="31" t="n">
        <x:v>6</x:v>
      </x:c>
      <x:c r="D7" s="31" t="n">
        <x:v>-1</x:v>
      </x:c>
      <x:c r="E7" s="31" t="str">
        <x:v>PRESSURE</x:v>
      </x:c>
      <x:c r="F7" s="31" t="str">
        <x:v>Direct validation of report-target non-consuming SUM on a formerly blocked overlap.</x:v>
      </x:c>
      <x:c r="G7" s="31" t="str"/>
      <x:c r="H7" s="31" t="str"/>
      <x:c r="I7" s="31" t="str"/>
      <x:c r="J7" s="31" t="str"/>
      <x:c r="K7" s="31" t="str"/>
      <x:c r="L7" s="31" t="str"/>
      <x:c r="M7" s="31"/>
      <x:c r="N7" s="31"/>
    </x:row>
    <x:row r="8">
      <x:c r="A8" s="31" t="n">
        <x:v>5</x:v>
      </x:c>
      <x:c r="B8" s="31" t="str">
        <x:v>MS + LH</x:v>
      </x:c>
      <x:c r="C8" s="31" t="n">
        <x:v>10</x:v>
      </x:c>
      <x:c r="D8" s="31" t="n">
        <x:v>-5</x:v>
      </x:c>
      <x:c r="E8" s="31" t="str">
        <x:v>OVERLOAD</x:v>
      </x:c>
      <x:c r="F8" s="31" t="str">
        <x:v>Stress validation of shared Sidorov salary after SUM(1) removal; target is solvable-but-expensive, not necessarily comfortable.</x:v>
      </x:c>
      <x:c r="G8" s="31" t="str"/>
      <x:c r="H8" s="31" t="str"/>
      <x:c r="I8" s="31" t="str"/>
      <x:c r="J8" s="31" t="str"/>
      <x:c r="K8" s="31" t="str"/>
      <x:c r="L8" s="31" t="str"/>
      <x:c r="M8" s="31"/>
      <x:c r="N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</x:sheetData>
  <x:mergeCells>
    <x:mergeCell ref="A1:L1"/>
  </x:mergeCells>
  <x:conditionalFormatting sqref="D4:D8">
    <x:cfRule type="colorScale" priority="1">
      <x:colorScale>
        <x:cfvo type="min"/>
        <x:cfvo type="percentile" val="50"/>
        <x:cfvo type="max"/>
        <x:color rgb="FFFCA5A5"/>
        <x:color rgb="FFFEF3C7"/>
        <x:color rgb="FF86EFAC"/>
      </x:colorScale>
    </x:cfRule>
  </x:conditionalFormatting>
  <x:dataValidations count="4">
    <x:dataValidation type="list" sqref="G4:G8">
      <x:formula1>"WIN,LOSS,ABORT"</x:formula1>
    </x:dataValidation>
    <x:dataValidation type="list" sqref="I4:I8">
      <x:formula1>"1,2,3,4,5"</x:formula1>
    </x:dataValidation>
    <x:dataValidation type="list" sqref="J4:J8">
      <x:formula1>"1,2,3,4,5"</x:formula1>
    </x:dataValidation>
    <x:dataValidation type="list" sqref="K4:K8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30" hidden="0" customWidth="1"/>
  </x:cols>
  <x:sheetData>
    <x:row r="1">
      <x:c r="A1" s="30" t="str">
        <x:v>MVP 0.4 manual playtest log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2" t="str">
        <x:v>Run</x:v>
      </x:c>
      <x:c r="B3" s="32" t="str">
        <x:v>Goals</x:v>
      </x:c>
      <x:c r="C3" s="32" t="str">
        <x:v>Result</x:v>
      </x:c>
      <x:c r="D3" s="32" t="str">
        <x:v>Turns</x:v>
      </x:c>
      <x:c r="E3" s="32" t="str">
        <x:v>Spawn 1</x:v>
      </x:c>
      <x:c r="F3" s="32" t="str">
        <x:v>Plan deviation</x:v>
      </x:c>
      <x:c r="G3" s="32" t="str">
        <x:v>What #REF forced</x:v>
      </x:c>
      <x:c r="H3" s="32" t="str">
        <x:v>Real choices</x:v>
      </x:c>
      <x:c r="I3" s="32" t="str">
        <x:v>Routine actions</x:v>
      </x:c>
      <x:c r="J3" s="32" t="str">
        <x:v>Report fun</x:v>
      </x:c>
      <x:c r="K3" s="32" t="str">
        <x:v>#REF fun</x:v>
      </x:c>
      <x:c r="L3" s="32" t="str">
        <x:v>Replay</x:v>
      </x:c>
      <x:c r="M3" s="32" t="str">
        <x:v>Best moment</x:v>
      </x:c>
      <x:c r="N3" s="32" t="str">
        <x:v>Irritation</x:v>
      </x:c>
    </x:row>
    <x:row r="4">
      <x:c r="A4" s="31" t="n">
        <x:v>1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</x:row>
    <x:row r="5">
      <x:c r="A5" s="31" t="n">
        <x:v>2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</x:row>
    <x:row r="6">
      <x:c r="A6" s="31" t="n">
        <x:v>3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</x:row>
    <x:row r="7">
      <x:c r="A7" s="31" t="n">
        <x:v>4</x:v>
      </x:c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</x:row>
    <x:row r="8">
      <x:c r="A8" s="31" t="n">
        <x:v>5</x:v>
      </x:c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</x:row>
    <x:row r="9">
      <x:c r="A9" s="31" t="n">
        <x:v>6</x:v>
      </x:c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</x:row>
    <x:row r="10">
      <x:c r="A10" s="31" t="n">
        <x:v>7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31" t="n">
        <x:v>8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31" t="n">
        <x:v>9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31" t="n">
        <x:v>10</x:v>
      </x:c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 t="n">
        <x:v>11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31" t="n">
        <x:v>12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31" t="n">
        <x:v>13</x:v>
      </x:c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</x:row>
    <x:row r="17">
      <x:c r="A17" s="31" t="n">
        <x:v>14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</x:row>
    <x:row r="18">
      <x:c r="A18" s="31" t="n">
        <x:v>15</x:v>
      </x:c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</x:row>
    <x:row r="19">
      <x:c r="A19" s="31" t="n">
        <x:v>16</x:v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  <x:row r="20">
      <x:c r="A20" s="31" t="n">
        <x:v>17</x:v>
      </x:c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</x:row>
    <x:row r="21">
      <x:c r="A21" s="31" t="n">
        <x:v>18</x:v>
      </x:c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1" t="n">
        <x:v>19</x:v>
      </x:c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</x:row>
    <x:row r="23">
      <x:c r="A23" s="31" t="n">
        <x:v>20</x:v>
      </x:c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</x:sheetData>
  <x:mergeCells>
    <x:mergeCell ref="A1:N1"/>
  </x:mergeCells>
  <x:dataValidations count="4">
    <x:dataValidation type="list" sqref="C4:C23">
      <x:formula1>"WIN,LOSS,ABORT"</x:formula1>
    </x:dataValidation>
    <x:dataValidation type="list" sqref="J4:J23">
      <x:formula1>"1,2,3,4,5"</x:formula1>
    </x:dataValidation>
    <x:dataValidation type="list" sqref="K4:K23">
      <x:formula1>"1,2,3,4,5"</x:formula1>
    </x:dataValidation>
    <x:dataValidation type="list" sqref="L4:L23">
      <x:formula1>"1,2,3,4,5"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60" hidden="0" customWidth="1"/>
  </x:cols>
  <x:sheetData>
    <x:row r="1">
      <x:c r="A1" s="30" t="str">
        <x:v>MVP 0.4 smoke-test dashboard</x:v>
      </x:c>
      <x:c r="B1" s="30"/>
      <x:c r="C1" s="30"/>
      <x:c r="D1" s="30"/>
      <x:c r="E1" s="30"/>
      <x:c r="F1" s="30"/>
      <x:c r="G1" s="30"/>
      <x:c r="H1" s="30"/>
      <x:c r="I1" s="31"/>
      <x:c r="J1" s="31"/>
      <x:c r="K1" s="31"/>
      <x:c r="L1" s="31"/>
      <x:c r="M1" s="31"/>
      <x:c r="N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>
      <x:c r="A3" s="32" t="str">
        <x:v>Metric</x:v>
      </x:c>
      <x:c r="B3" s="32" t="str">
        <x:v>Value</x:v>
      </x:c>
      <x:c r="C3" s="31"/>
      <x:c r="D3" s="32" t="str">
        <x:v>Test</x:v>
      </x:c>
      <x:c r="E3" s="32" t="str">
        <x:v>Cost</x:v>
      </x:c>
      <x:c r="F3" s="32" t="str">
        <x:v>Margin</x:v>
      </x:c>
      <x:c r="G3" s="32" t="str">
        <x:v>Band</x:v>
      </x:c>
      <x:c r="H3" s="32" t="str">
        <x:v>Purpose</x:v>
      </x:c>
      <x:c r="I3" s="31"/>
      <x:c r="J3" s="31"/>
      <x:c r="K3" s="31"/>
      <x:c r="L3" s="31"/>
      <x:c r="M3" s="31"/>
      <x:c r="N3" s="31"/>
    </x:row>
    <x:row r="4">
      <x:c r="A4" s="31" t="str">
        <x:v>Threat horizon H</x:v>
      </x:c>
      <x:c r="B4" s="31" t="n">
        <x:f>Parameters!F4</x:f>
        <x:v>5</x:v>
      </x:c>
      <x:c r="C4" s="31"/>
      <x:c r="D4" s="31" t="str">
        <x:v>ST + OT</x:v>
      </x:c>
      <x:c r="E4" s="31" t="n">
        <x:v>4</x:v>
      </x:c>
      <x:c r="F4" s="31" t="n">
        <x:v>1</x:v>
      </x:c>
      <x:c r="G4" s="31" t="str">
        <x:v>LIGHT</x:v>
      </x:c>
      <x:c r="H4" s="31" t="str">
        <x:v>Control. Should remain easy; verify UI/telegraph and fresh-number memory reset.</x:v>
      </x:c>
      <x:c r="I4" s="31"/>
      <x:c r="J4" s="31"/>
      <x:c r="K4" s="31"/>
      <x:c r="L4" s="31"/>
      <x:c r="M4" s="31"/>
      <x:c r="N4" s="31"/>
    </x:row>
    <x:row r="5">
      <x:c r="A5" s="31" t="str">
        <x:v>Next tests</x:v>
      </x:c>
      <x:c r="B5" s="31" t="n">
        <x:v>5</x:v>
      </x:c>
      <x:c r="C5" s="31"/>
      <x:c r="D5" s="31" t="str">
        <x:v>ST + B5</x:v>
      </x:c>
      <x:c r="E5" s="31" t="n">
        <x:v>7</x:v>
      </x:c>
      <x:c r="F5" s="31" t="n">
        <x:v>-2</x:v>
      </x:c>
      <x:c r="G5" s="31" t="str">
        <x:v>PRESSURE</x:v>
      </x:c>
      <x:c r="H5" s="31" t="str">
        <x:v>Compare against old smoke-06. Check whether subset solving remains meaningful without memorized values.</x:v>
      </x:c>
      <x:c r="I5" s="31"/>
      <x:c r="J5" s="31"/>
      <x:c r="K5" s="31"/>
      <x:c r="L5" s="31"/>
      <x:c r="M5" s="31"/>
      <x:c r="N5" s="31"/>
    </x:row>
    <x:row r="6">
      <x:c r="A6" s="31" t="str">
        <x:v>Old best #REF fun</x:v>
      </x:c>
      <x:c r="B6" s="31" t="n">
        <x:v>5</x:v>
      </x:c>
      <x:c r="C6" s="31"/>
      <x:c r="D6" s="31" t="str">
        <x:v>OT + MS</x:v>
      </x:c>
      <x:c r="E6" s="31" t="n">
        <x:v>5</x:v>
      </x:c>
      <x:c r="F6" s="31" t="n">
        <x:v>0</x:v>
      </x:c>
      <x:c r="G6" s="31" t="str">
        <x:v>EDGE</x:v>
      </x:c>
      <x:c r="H6" s="31" t="str">
        <x:v>Compare against old smoke-07. Check whether #REF! still changes ordering around a shared Overtime sort.</x:v>
      </x:c>
      <x:c r="I6" s="31"/>
      <x:c r="J6" s="31"/>
      <x:c r="K6" s="31"/>
      <x:c r="L6" s="31"/>
      <x:c r="M6" s="31"/>
      <x:c r="N6" s="31"/>
    </x:row>
    <x:row r="7">
      <x:c r="A7" s="31" t="str">
        <x:v>Old longest win</x:v>
      </x:c>
      <x:c r="B7" s="31" t="n">
        <x:v>14</x:v>
      </x:c>
      <x:c r="C7" s="31"/>
      <x:c r="D7" s="31" t="str">
        <x:v>BT + B5</x:v>
      </x:c>
      <x:c r="E7" s="31" t="n">
        <x:v>6</x:v>
      </x:c>
      <x:c r="F7" s="31" t="n">
        <x:v>-1</x:v>
      </x:c>
      <x:c r="G7" s="31" t="str">
        <x:v>PRESSURE</x:v>
      </x:c>
      <x:c r="H7" s="31" t="str">
        <x:v>Direct validation of report-target non-consuming SUM on a formerly blocked overlap.</x:v>
      </x:c>
      <x:c r="I7" s="31"/>
      <x:c r="J7" s="31"/>
      <x:c r="K7" s="31"/>
      <x:c r="L7" s="31"/>
      <x:c r="M7" s="31"/>
      <x:c r="N7" s="31"/>
    </x:row>
    <x:row r="8">
      <x:c r="A8" s="31"/>
      <x:c r="B8" s="31"/>
      <x:c r="C8" s="31"/>
      <x:c r="D8" s="31" t="str">
        <x:v>MS + LH</x:v>
      </x:c>
      <x:c r="E8" s="31" t="n">
        <x:v>10</x:v>
      </x:c>
      <x:c r="F8" s="31" t="n">
        <x:v>-5</x:v>
      </x:c>
      <x:c r="G8" s="31" t="str">
        <x:v>OVERLOAD</x:v>
      </x:c>
      <x:c r="H8" s="31" t="str">
        <x:v>Stress validation of shared Sidorov salary after SUM(1) removal; target is solvable-but-expensive, not necessarily comfortable.</x:v>
      </x:c>
      <x:c r="I8" s="31"/>
      <x:c r="J8" s="31"/>
      <x:c r="K8" s="31"/>
      <x:c r="L8" s="31"/>
      <x:c r="M8" s="31"/>
      <x:c r="N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</x:row>
  </x:sheetData>
  <x:mergeCells>
    <x:mergeCell ref="A1:H1"/>
  </x:mergeCells>
  <x:pageMargins left="0.7" right="0.7" top="0.75" bottom="0.75" header="0.3" footer="0.3"/>
</x:worksheet>
</file>