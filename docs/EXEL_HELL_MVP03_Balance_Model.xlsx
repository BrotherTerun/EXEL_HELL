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494754e44a4c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ers" sheetId="1" r:id="R5e65d1b124c34fa0"/>
    <x:sheet xmlns:r="http://schemas.openxmlformats.org/officeDocument/2006/relationships" name="Goals" sheetId="2" r:id="Rda2689b1dc1942d5"/>
    <x:sheet xmlns:r="http://schemas.openxmlformats.org/officeDocument/2006/relationships" name="Interaction Rules" sheetId="3" r:id="R00f61c051ece41a8"/>
    <x:sheet xmlns:r="http://schemas.openxmlformats.org/officeDocument/2006/relationships" name="Combinations" sheetId="4" r:id="R023b3c5bd75f449a"/>
    <x:sheet xmlns:r="http://schemas.openxmlformats.org/officeDocument/2006/relationships" name="Playtests" sheetId="5" r:id="Rd884e03ba3c74f52"/>
    <x:sheet xmlns:r="http://schemas.openxmlformats.org/officeDocument/2006/relationships" name="Test Matrix" sheetId="6" r:id="R84e26401088a44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203040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</x:font>
      <x:fill>
        <x:patternFill patternType="solid">
          <x:bgColor rgb="FFBFDB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4c13c041be43b6" /><Relationship Type="http://schemas.openxmlformats.org/officeDocument/2006/relationships/theme" Target="/xl/theme/theme1.xml" Id="R783d6e8bc85a41d0" /><Relationship Type="http://schemas.openxmlformats.org/officeDocument/2006/relationships/sharedStrings" Target="/xl/sharedStrings.xml" Id="R9b56c5e25d574e85" /><Relationship Type="http://schemas.openxmlformats.org/officeDocument/2006/relationships/worksheet" Target="/xl/worksheets/sheet1.xml" Id="R5e65d1b124c34fa0" /><Relationship Type="http://schemas.openxmlformats.org/officeDocument/2006/relationships/worksheet" Target="/xl/worksheets/sheet2.xml" Id="Rda2689b1dc1942d5" /><Relationship Type="http://schemas.openxmlformats.org/officeDocument/2006/relationships/worksheet" Target="/xl/worksheets/sheet3.xml" Id="R00f61c051ece41a8" /><Relationship Type="http://schemas.openxmlformats.org/officeDocument/2006/relationships/worksheet" Target="/xl/worksheets/sheet4.xml" Id="R023b3c5bd75f449a" /><Relationship Type="http://schemas.openxmlformats.org/officeDocument/2006/relationships/worksheet" Target="/xl/worksheets/sheet5.xml" Id="Rd884e03ba3c74f52" /><Relationship Type="http://schemas.openxmlformats.org/officeDocument/2006/relationships/worksheet" Target="/xl/worksheets/sheet6.xml" Id="R84e26401088a44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5" max="5" width="30" hidden="0" customWidth="1"/>
    <x:col min="6" max="6" width="30" hidden="0" customWidth="1"/>
  </x:cols>
  <x:sheetData>
    <x:row r="1">
      <x:c r="A1" s="30" t="str">
        <x:v>EXEL HELL — MVP 0.3 Balance Model</x:v>
      </x:c>
      <x:c r="B1" s="30"/>
      <x:c r="C1" s="30"/>
      <x:c r="D1" s="30"/>
      <x:c r="E1" s="30"/>
      <x:c r="F1" s="30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2" t="str">
        <x:v>Parameter</x:v>
      </x:c>
      <x:c r="B3" s="32" t="str">
        <x:v>Value</x:v>
      </x:c>
      <x:c r="C3" s="32" t="str">
        <x:v>Meaning</x:v>
      </x:c>
      <x:c r="D3" s="31"/>
      <x:c r="E3" s="32" t="str">
        <x:v>Derived</x:v>
      </x:c>
      <x:c r="F3" s="32" t="str">
        <x:v>Value</x:v>
      </x:c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31" t="str">
        <x:v>Board Rows</x:v>
      </x:c>
      <x:c r="B4" s="31" t="n">
        <x:v>8</x:v>
      </x:c>
      <x:c r="C4" s="31" t="str">
        <x:v>Текущее поле</x:v>
      </x:c>
      <x:c r="D4" s="31"/>
      <x:c r="E4" s="31" t="str">
        <x:v>Approx. first threat horizon H</x:v>
      </x:c>
      <x:c r="F4" s="31" t="n">
        <x:f>$B$7+$B$8</x:f>
        <x:v>5</x:v>
      </x:c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1" t="str">
        <x:v>Board Columns</x:v>
      </x:c>
      <x:c r="B5" s="31" t="n">
        <x:v>8</x:v>
      </x:c>
      <x:c r="C5" s="31" t="str">
        <x:v>Текущее поле</x:v>
      </x:c>
      <x:c r="D5" s="31"/>
      <x:c r="E5" s="31" t="str">
        <x:v>Interpretation</x:v>
      </x:c>
      <x:c r="F5" s="31" t="str">
        <x:v>H ≈ spawn delay + preferred distance</x:v>
      </x:c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1" t="str">
        <x:v>Deadline</x:v>
      </x:c>
      <x:c r="B6" s="31" t="n">
        <x:v>15</x:v>
      </x:c>
      <x:c r="C6" s="31" t="str">
        <x:v>Ходов до поражения</x:v>
      </x:c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1" t="str">
        <x:v>First Spawn Delay</x:v>
      </x:c>
      <x:c r="B7" s="31" t="n">
        <x:v>3</x:v>
      </x:c>
      <x:c r="C7" s="31" t="str">
        <x:v>anomalyActivationTurn</x:v>
      </x:c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1" t="str">
        <x:v>Preferred Spawn Distance</x:v>
      </x:c>
      <x:c r="B8" s="31" t="n">
        <x:v>2</x:v>
      </x:c>
      <x:c r="C8" s="31" t="str">
        <x:v>Manhattan-distance до critical data</x:v>
      </x:c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1" t="str">
        <x:v>Spawn Distance Variation</x:v>
      </x:c>
      <x:c r="B9" s="31" t="n">
        <x:v>1</x:v>
      </x:c>
      <x:c r="C9" s="31" t="str">
        <x:v>Допустимое отклонение</x:v>
      </x:c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1" t="str">
        <x:v>Respawn Delay</x:v>
      </x:c>
      <x:c r="B10" s="31" t="n">
        <x:v>2</x:v>
      </x:c>
      <x:c r="C10" s="31" t="str">
        <x:v>После полной зачистки</x:v>
      </x:c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1" t="str">
        <x:v>Active Outbreak Delay</x:v>
      </x:c>
      <x:c r="B11" s="31" t="n">
        <x:v>3</x:v>
      </x:c>
      <x:c r="C11" s="31" t="str">
        <x:v>Новая вспышка при живых очагах</x:v>
      </x:c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1" t="str">
        <x:v>Corruption Lifetime</x:v>
      </x:c>
      <x:c r="B12" s="31" t="n">
        <x:v>2</x:v>
      </x:c>
      <x:c r="C12" s="31" t="str">
        <x:v>До Corrupted → Destroyed</x:v>
      </x:c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3" t="str">
        <x:v>Model caveat</x:v>
      </x:c>
      <x:c r="B15" s="33"/>
      <x:c r="C15" s="33"/>
      <x:c r="D15" s="33"/>
      <x:c r="E15" s="33"/>
      <x:c r="F15" s="33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 t="str">
        <x:v>Threat Margin = H - heuristic base cost.</x:v>
      </x:c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 t="str">
        <x:v>Это фильтр плейтестов, не предсказатель исхода партии. Реальный T_i зависит от движения данных и #REF!.</x:v>
      </x:c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</x:sheetData>
  <x:mergeCells>
    <x:mergeCell ref="A1:F1"/>
    <x:mergeCell ref="A15:F15"/>
    <x:mergeCell ref="A16:F16"/>
    <x:mergeCell ref="A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14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>
      <x:c r="A1" s="30" t="str">
        <x:v>Report Goals — базовая стоимость и критические данные</x:v>
      </x:c>
      <x:c r="B1" s="30"/>
      <x:c r="C1" s="30"/>
      <x:c r="D1" s="30"/>
      <x:c r="E1" s="30"/>
      <x:c r="F1" s="30"/>
      <x:c r="G1" s="30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2" t="str">
        <x:v>ID</x:v>
      </x:c>
      <x:c r="B3" s="32" t="str">
        <x:v>Goal</x:v>
      </x:c>
      <x:c r="C3" s="32" t="str">
        <x:v>Solo Base Cost</x:v>
      </x:c>
      <x:c r="D3" s="32" t="str">
        <x:v>Critical Data</x:v>
      </x:c>
      <x:c r="E3" s="32" t="str">
        <x:v>Structural Sorts</x:v>
      </x:c>
      <x:c r="F3" s="32" t="str">
        <x:v>Current MVP 0.3 status</x:v>
      </x:c>
      <x:c r="G3" s="32" t="str">
        <x:v>Notes</x:v>
      </x:c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31" t="str">
        <x:v>ST</x:v>
      </x:c>
      <x:c r="B4" s="31" t="str">
        <x:v>Итого зарплата</x:v>
      </x:c>
      <x:c r="C4" s="31" t="n">
        <x:v>2</x:v>
      </x:c>
      <x:c r="D4" s="31" t="str">
        <x:v>salary:*</x:v>
      </x:c>
      <x:c r="E4" s="31" t="str">
        <x:v>salary</x:v>
      </x:c>
      <x:c r="F4" s="31" t="str">
        <x:v>ACTIVE</x:v>
      </x:c>
      <x:c r="G4" s="31" t="str">
        <x:v>SORT Salary → SUM. Atomic total.</x:v>
      </x:c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1" t="str">
        <x:v>OT</x:v>
      </x:c>
      <x:c r="B5" s="31" t="str">
        <x:v>Итого переработки</x:v>
      </x:c>
      <x:c r="C5" s="31" t="n">
        <x:v>2</x:v>
      </x:c>
      <x:c r="D5" s="31" t="str">
        <x:v>overtime:*</x:v>
      </x:c>
      <x:c r="E5" s="31" t="str">
        <x:v>overtime</x:v>
      </x:c>
      <x:c r="F5" s="31" t="str">
        <x:v>ACTIVE</x:v>
      </x:c>
      <x:c r="G5" s="31" t="str">
        <x:v>SORT Overtime → SUM. Atomic total.</x:v>
      </x:c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1" t="str">
        <x:v>BT</x:v>
      </x:c>
      <x:c r="B6" s="31" t="str">
        <x:v>Итого премии</x:v>
      </x:c>
      <x:c r="C6" s="31" t="n">
        <x:v>2</x:v>
      </x:c>
      <x:c r="D6" s="31" t="str">
        <x:v>bonus:*</x:v>
      </x:c>
      <x:c r="E6" s="31" t="str">
        <x:v>bonus</x:v>
      </x:c>
      <x:c r="F6" s="31" t="str">
        <x:v>ACTIVE</x:v>
      </x:c>
      <x:c r="G6" s="31" t="str">
        <x:v>SORT Bonus → SUM. Atomic total.</x:v>
      </x:c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1" t="str">
        <x:v>B4</x:v>
      </x:c>
      <x:c r="B7" s="31" t="str">
        <x:v>Премии ≥ 4</x:v>
      </x:c>
      <x:c r="C7" s="31" t="n">
        <x:v>3</x:v>
      </x:c>
      <x:c r="D7" s="31" t="str">
        <x:v>bonus:* (filter by value)</x:v>
      </x:c>
      <x:c r="E7" s="31" t="str">
        <x:v>bonus</x:v>
      </x:c>
      <x:c r="F7" s="31" t="str">
        <x:v>ACTIVE</x:v>
      </x:c>
      <x:c r="G7" s="31" t="str">
        <x:v>SORT Bonus → две SUM-компрессии для 5+4+6.</x:v>
      </x:c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1" t="str">
        <x:v>MS</x:v>
      </x:c>
      <x:c r="B8" s="31" t="str">
        <x:v>Зарплата сотрудника с max переработкой</x:v>
      </x:c>
      <x:c r="C8" s="31" t="n">
        <x:v>4</x:v>
      </x:c>
      <x:c r="D8" s="31" t="str">
        <x:v>overtime:* + sidorov.salary</x:v>
      </x:c>
      <x:c r="E8" s="31" t="str">
        <x:v>overtime;record/salary</x:v>
      </x:c>
      <x:c r="F8" s="31" t="str">
        <x:v>ACTIVE</x:v>
      </x:c>
      <x:c r="G8" s="31" t="str">
        <x:v>Определить max overtime → найти Sidorov salary → перенести в report.</x:v>
      </x:c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1" t="str">
        <x:v>LH</x:v>
      </x:c>
      <x:c r="B9" s="31" t="str">
        <x:v>Зарплаты сотрудников с часами &lt; 40</x:v>
      </x:c>
      <x:c r="C9" s="31" t="n">
        <x:v>4</x:v>
      </x:c>
      <x:c r="D9" s="31" t="str">
        <x:v>hours:* + sidorov.salary + kim.salary</x:v>
      </x:c>
      <x:c r="E9" s="31" t="str">
        <x:v>hours;salary</x:v>
      </x:c>
      <x:c r="F9" s="31" t="str">
        <x:v>ACTIVE</x:v>
      </x:c>
      <x:c r="G9" s="31" t="str">
        <x:v>Определить записи по Hours → собрать 41+55.</x:v>
      </x:c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3" t="str">
        <x:v>Solo Base Cost — желаемый маршрут без #REF!, а не гарантия решаемости комбинации.</x:v>
      </x:c>
      <x:c r="B11" s="33"/>
      <x:c r="C11" s="33"/>
      <x:c r="D11" s="33"/>
      <x:c r="E11" s="33"/>
      <x:c r="F11" s="33"/>
      <x:c r="G11" s="33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</x:sheetData>
  <x:mergeCells>
    <x:mergeCell ref="A1:G1"/>
    <x:mergeCell ref="A11:G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5" hidden="0" customWidth="1"/>
  </x:cols>
  <x:sheetData>
    <x:row r="1">
      <x:c r="A1" s="30" t="str">
        <x:v>Known interactions in current MVP 0.3</x:v>
      </x:c>
      <x:c r="B1" s="30"/>
      <x:c r="C1" s="30"/>
      <x:c r="D1" s="30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2" t="str">
        <x:v>Goal A</x:v>
      </x:c>
      <x:c r="B3" s="32" t="str">
        <x:v>Goal B</x:v>
      </x:c>
      <x:c r="C3" s="32" t="str">
        <x:v>Rule</x:v>
      </x:c>
      <x:c r="D3" s="32" t="str">
        <x:v>Reason</x:v>
      </x:c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31" t="str">
        <x:v>MS</x:v>
      </x:c>
      <x:c r="B4" s="31" t="str">
        <x:v>ST</x:v>
      </x:c>
      <x:c r="C4" s="31" t="str">
        <x:v>IMPOSSIBLE</x:v>
      </x:c>
      <x:c r="D4" s="31" t="str">
        <x:v>MS выносит salary(Sidorov) из набора, ST после этого недособираем; ST первым уничтожает 41.</x:v>
      </x:c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1" t="str">
        <x:v>LH</x:v>
      </x:c>
      <x:c r="B5" s="31" t="str">
        <x:v>ST</x:v>
      </x:c>
      <x:c r="C5" s="31" t="str">
        <x:v>IMPOSSIBLE</x:v>
      </x:c>
      <x:c r="D5" s="31" t="str">
        <x:v>Обе цели требуют одни и те же salary-токены, consuming SUM одной ломает другую.</x:v>
      </x:c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1" t="str">
        <x:v>B4</x:v>
      </x:c>
      <x:c r="B6" s="31" t="str">
        <x:v>BT</x:v>
      </x:c>
      <x:c r="C6" s="31" t="str">
        <x:v>IMPOSSIBLE</x:v>
      </x:c>
      <x:c r="D6" s="31" t="str">
        <x:v>Subset Bonus и Total Bonus конкурируют за consuming bonus-токены.</x:v>
      </x:c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1" t="str">
        <x:v>LH</x:v>
      </x:c>
      <x:c r="B7" s="31" t="str">
        <x:v>MS</x:v>
      </x:c>
      <x:c r="C7" s="31" t="str">
        <x:v>IMPOSSIBLE</x:v>
      </x:c>
      <x:c r="D7" s="31" t="str">
        <x:v>Обе цели требуют salary(Sidorov)=41; одна цель физически забирает/поглощает токен.</x:v>
      </x:c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1" t="str">
        <x:v>MS</x:v>
      </x:c>
      <x:c r="B8" s="31" t="str">
        <x:v>OT</x:v>
      </x:c>
      <x:c r="C8" s="31" t="str">
        <x:v>Shared sort: -1 action</x:v>
      </x:c>
      <x:c r="D8" s="31" t="str">
        <x:v>Один SORT может подготовить обе цели.</x:v>
      </x:c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22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>
      <x:c r="A1" s="30" t="str">
        <x:v>Все комбинации 2–3 Report Goals — фильтр для плейтестов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2" t="str">
        <x:v>N</x:v>
      </x:c>
      <x:c r="B3" s="32" t="str">
        <x:v>Goal 1</x:v>
      </x:c>
      <x:c r="C3" s="32" t="str">
        <x:v>Goal 2</x:v>
      </x:c>
      <x:c r="D3" s="32" t="str">
        <x:v>Goal 3</x:v>
      </x:c>
      <x:c r="E3" s="32" t="str">
        <x:v>Combination</x:v>
      </x:c>
      <x:c r="F3" s="32" t="str">
        <x:v>Known Conflict</x:v>
      </x:c>
      <x:c r="G3" s="32" t="str">
        <x:v>Shared Sort Discount</x:v>
      </x:c>
      <x:c r="H3" s="32" t="str">
        <x:v>Sum Solo Cost</x:v>
      </x:c>
      <x:c r="I3" s="32" t="str">
        <x:v>Heuristic Base Cost</x:v>
      </x:c>
      <x:c r="J3" s="32" t="str">
        <x:v>Threat Horizon H</x:v>
      </x:c>
      <x:c r="K3" s="32" t="str">
        <x:v>Threat Margin M</x:v>
      </x:c>
      <x:c r="L3" s="32" t="str">
        <x:v>Pressure Band</x:v>
      </x:c>
      <x:c r="M3" s="32" t="str">
        <x:v>Use for test?</x:v>
      </x:c>
      <x:c r="N3" s="32" t="str">
        <x:v>Actual Attempts</x:v>
      </x:c>
      <x:c r="O3" s="32" t="str">
        <x:v>Actual Wins</x:v>
      </x:c>
      <x:c r="P3" s="32" t="str">
        <x:v>Actual Avg Turns</x:v>
      </x:c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31" t="n">
        <x:v>2</x:v>
      </x:c>
      <x:c r="B4" s="31" t="str">
        <x:v>ST</x:v>
      </x:c>
      <x:c r="C4" s="31" t="str">
        <x:v>OT</x:v>
      </x:c>
      <x:c r="D4" s="31" t="str"/>
      <x:c r="E4" s="31" t="str">
        <x:v>ST + OT</x:v>
      </x:c>
      <x:c r="F4" s="31" t="str"/>
      <x:c r="G4" s="31" t="n">
        <x:v>0</x:v>
      </x:c>
      <x:c r="H4" s="31" t="n">
        <x:f>SUMIF(Goals!$A$4:$A$9,B4,Goals!$C$4:$C$9)+SUMIF(Goals!$A$4:$A$9,C4,Goals!$C$4:$C$9)+SUMIF(Goals!$A$4:$A$9,D4,Goals!$C$4:$C$9)</x:f>
        <x:v>4</x:v>
      </x:c>
      <x:c r="I4" s="31" t="n">
        <x:f>IF(F4="IMPOSSIBLE","",H4-G4)</x:f>
        <x:v>4</x:v>
      </x:c>
      <x:c r="J4" s="31" t="n">
        <x:f>Parameters!$F$4</x:f>
        <x:v>5</x:v>
      </x:c>
      <x:c r="K4" s="31" t="n">
        <x:f>IF(I4="","",J4-I4)</x:f>
        <x:v>1</x:v>
      </x:c>
      <x:c r="L4" s="31" t="str">
        <x:f>IF(F4="IMPOSSIBLE","BLOCKED",IF(K4&gt;=3,"SAFE",IF(K4&gt;=1,"LIGHT",IF(K4=0,"EDGE",IF(K4&gt;=-2,"PRESSURE","OVERLOAD")))))</x:f>
        <x:v>LIGHT</x:v>
      </x:c>
      <x:c r="M4" s="31" t="str">
        <x:v>YES</x:v>
      </x:c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1" t="n">
        <x:v>2</x:v>
      </x:c>
      <x:c r="B5" s="31" t="str">
        <x:v>ST</x:v>
      </x:c>
      <x:c r="C5" s="31" t="str">
        <x:v>BT</x:v>
      </x:c>
      <x:c r="D5" s="31" t="str"/>
      <x:c r="E5" s="31" t="str">
        <x:v>ST + BT</x:v>
      </x:c>
      <x:c r="F5" s="31" t="str"/>
      <x:c r="G5" s="31" t="n">
        <x:v>0</x:v>
      </x:c>
      <x:c r="H5" s="31" t="n">
        <x:f>SUMIF(Goals!$A$4:$A$9,B5,Goals!$C$4:$C$9)+SUMIF(Goals!$A$4:$A$9,C5,Goals!$C$4:$C$9)+SUMIF(Goals!$A$4:$A$9,D5,Goals!$C$4:$C$9)</x:f>
        <x:v>4</x:v>
      </x:c>
      <x:c r="I5" s="31" t="n">
        <x:f>IF(F5="IMPOSSIBLE","",H5-G5)</x:f>
        <x:v>4</x:v>
      </x:c>
      <x:c r="J5" s="31" t="n">
        <x:f>Parameters!$F$4</x:f>
        <x:v>5</x:v>
      </x:c>
      <x:c r="K5" s="31" t="n">
        <x:f>IF(I5="","",J5-I5)</x:f>
        <x:v>1</x:v>
      </x:c>
      <x:c r="L5" s="31" t="str">
        <x:f>IF(F5="IMPOSSIBLE","BLOCKED",IF(K5&gt;=3,"SAFE",IF(K5&gt;=1,"LIGHT",IF(K5=0,"EDGE",IF(K5&gt;=-2,"PRESSURE","OVERLOAD")))))</x:f>
        <x:v>LIGHT</x:v>
      </x:c>
      <x:c r="M5" s="31" t="str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1" t="n">
        <x:v>2</x:v>
      </x:c>
      <x:c r="B6" s="31" t="str">
        <x:v>ST</x:v>
      </x:c>
      <x:c r="C6" s="31" t="str">
        <x:v>B4</x:v>
      </x:c>
      <x:c r="D6" s="31" t="str"/>
      <x:c r="E6" s="31" t="str">
        <x:v>ST + B4</x:v>
      </x:c>
      <x:c r="F6" s="31" t="str"/>
      <x:c r="G6" s="31" t="n">
        <x:v>0</x:v>
      </x:c>
      <x:c r="H6" s="31" t="n">
        <x:f>SUMIF(Goals!$A$4:$A$9,B6,Goals!$C$4:$C$9)+SUMIF(Goals!$A$4:$A$9,C6,Goals!$C$4:$C$9)+SUMIF(Goals!$A$4:$A$9,D6,Goals!$C$4:$C$9)</x:f>
        <x:v>5</x:v>
      </x:c>
      <x:c r="I6" s="31" t="n">
        <x:f>IF(F6="IMPOSSIBLE","",H6-G6)</x:f>
        <x:v>5</x:v>
      </x:c>
      <x:c r="J6" s="31" t="n">
        <x:f>Parameters!$F$4</x:f>
        <x:v>5</x:v>
      </x:c>
      <x:c r="K6" s="31" t="n">
        <x:f>IF(I6="","",J6-I6)</x:f>
        <x:v>0</x:v>
      </x:c>
      <x:c r="L6" s="31" t="str">
        <x:f>IF(F6="IMPOSSIBLE","BLOCKED",IF(K6&gt;=3,"SAFE",IF(K6&gt;=1,"LIGHT",IF(K6=0,"EDGE",IF(K6&gt;=-2,"PRESSURE","OVERLOAD")))))</x:f>
        <x:v>EDGE</x:v>
      </x:c>
      <x:c r="M6" s="31" t="str">
        <x:v>YES</x:v>
      </x:c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1" t="n">
        <x:v>2</x:v>
      </x:c>
      <x:c r="B7" s="31" t="str">
        <x:v>ST</x:v>
      </x:c>
      <x:c r="C7" s="31" t="str">
        <x:v>MS</x:v>
      </x:c>
      <x:c r="D7" s="31" t="str"/>
      <x:c r="E7" s="31" t="str">
        <x:v>ST + MS</x:v>
      </x:c>
      <x:c r="F7" s="31" t="str">
        <x:v>IMPOSSIBLE</x:v>
      </x:c>
      <x:c r="G7" s="31" t="n">
        <x:v>0</x:v>
      </x:c>
      <x:c r="H7" s="31" t="n">
        <x:f>SUMIF(Goals!$A$4:$A$9,B7,Goals!$C$4:$C$9)+SUMIF(Goals!$A$4:$A$9,C7,Goals!$C$4:$C$9)+SUMIF(Goals!$A$4:$A$9,D7,Goals!$C$4:$C$9)</x:f>
        <x:v>6</x:v>
      </x:c>
      <x:c r="I7" s="31" t="str">
        <x:f>IF(F7="IMPOSSIBLE","",H7-G7)</x:f>
      </x:c>
      <x:c r="J7" s="31" t="n">
        <x:f>Parameters!$F$4</x:f>
        <x:v>5</x:v>
      </x:c>
      <x:c r="K7" s="31" t="str">
        <x:f>IF(I7="","",J7-I7)</x:f>
      </x:c>
      <x:c r="L7" s="31" t="str">
        <x:f>IF(F7="IMPOSSIBLE","BLOCKED",IF(K7&gt;=3,"SAFE",IF(K7&gt;=1,"LIGHT",IF(K7=0,"EDGE",IF(K7&gt;=-2,"PRESSURE","OVERLOAD")))))</x:f>
        <x:v>BLOCKED</x:v>
      </x:c>
      <x:c r="M7" s="31" t="str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1" t="n">
        <x:v>2</x:v>
      </x:c>
      <x:c r="B8" s="31" t="str">
        <x:v>ST</x:v>
      </x:c>
      <x:c r="C8" s="31" t="str">
        <x:v>LH</x:v>
      </x:c>
      <x:c r="D8" s="31" t="str"/>
      <x:c r="E8" s="31" t="str">
        <x:v>ST + LH</x:v>
      </x:c>
      <x:c r="F8" s="31" t="str">
        <x:v>IMPOSSIBLE</x:v>
      </x:c>
      <x:c r="G8" s="31" t="n">
        <x:v>0</x:v>
      </x:c>
      <x:c r="H8" s="31" t="n">
        <x:f>SUMIF(Goals!$A$4:$A$9,B8,Goals!$C$4:$C$9)+SUMIF(Goals!$A$4:$A$9,C8,Goals!$C$4:$C$9)+SUMIF(Goals!$A$4:$A$9,D8,Goals!$C$4:$C$9)</x:f>
        <x:v>6</x:v>
      </x:c>
      <x:c r="I8" s="31" t="str">
        <x:f>IF(F8="IMPOSSIBLE","",H8-G8)</x:f>
      </x:c>
      <x:c r="J8" s="31" t="n">
        <x:f>Parameters!$F$4</x:f>
        <x:v>5</x:v>
      </x:c>
      <x:c r="K8" s="31" t="str">
        <x:f>IF(I8="","",J8-I8)</x:f>
      </x:c>
      <x:c r="L8" s="31" t="str">
        <x:f>IF(F8="IMPOSSIBLE","BLOCKED",IF(K8&gt;=3,"SAFE",IF(K8&gt;=1,"LIGHT",IF(K8=0,"EDGE",IF(K8&gt;=-2,"PRESSURE","OVERLOAD")))))</x:f>
        <x:v>BLOCKED</x:v>
      </x:c>
      <x:c r="M8" s="31" t="str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1" t="n">
        <x:v>2</x:v>
      </x:c>
      <x:c r="B9" s="31" t="str">
        <x:v>OT</x:v>
      </x:c>
      <x:c r="C9" s="31" t="str">
        <x:v>BT</x:v>
      </x:c>
      <x:c r="D9" s="31" t="str"/>
      <x:c r="E9" s="31" t="str">
        <x:v>OT + BT</x:v>
      </x:c>
      <x:c r="F9" s="31" t="str"/>
      <x:c r="G9" s="31" t="n">
        <x:v>0</x:v>
      </x:c>
      <x:c r="H9" s="31" t="n">
        <x:f>SUMIF(Goals!$A$4:$A$9,B9,Goals!$C$4:$C$9)+SUMIF(Goals!$A$4:$A$9,C9,Goals!$C$4:$C$9)+SUMIF(Goals!$A$4:$A$9,D9,Goals!$C$4:$C$9)</x:f>
        <x:v>4</x:v>
      </x:c>
      <x:c r="I9" s="31" t="n">
        <x:f>IF(F9="IMPOSSIBLE","",H9-G9)</x:f>
        <x:v>4</x:v>
      </x:c>
      <x:c r="J9" s="31" t="n">
        <x:f>Parameters!$F$4</x:f>
        <x:v>5</x:v>
      </x:c>
      <x:c r="K9" s="31" t="n">
        <x:f>IF(I9="","",J9-I9)</x:f>
        <x:v>1</x:v>
      </x:c>
      <x:c r="L9" s="31" t="str">
        <x:f>IF(F9="IMPOSSIBLE","BLOCKED",IF(K9&gt;=3,"SAFE",IF(K9&gt;=1,"LIGHT",IF(K9=0,"EDGE",IF(K9&gt;=-2,"PRESSURE","OVERLOAD")))))</x:f>
        <x:v>LIGHT</x:v>
      </x:c>
      <x:c r="M9" s="31" t="str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1" t="n">
        <x:v>2</x:v>
      </x:c>
      <x:c r="B10" s="31" t="str">
        <x:v>OT</x:v>
      </x:c>
      <x:c r="C10" s="31" t="str">
        <x:v>B4</x:v>
      </x:c>
      <x:c r="D10" s="31" t="str"/>
      <x:c r="E10" s="31" t="str">
        <x:v>OT + B4</x:v>
      </x:c>
      <x:c r="F10" s="31" t="str"/>
      <x:c r="G10" s="31" t="n">
        <x:v>0</x:v>
      </x:c>
      <x:c r="H10" s="31" t="n">
        <x:f>SUMIF(Goals!$A$4:$A$9,B10,Goals!$C$4:$C$9)+SUMIF(Goals!$A$4:$A$9,C10,Goals!$C$4:$C$9)+SUMIF(Goals!$A$4:$A$9,D10,Goals!$C$4:$C$9)</x:f>
        <x:v>5</x:v>
      </x:c>
      <x:c r="I10" s="31" t="n">
        <x:f>IF(F10="IMPOSSIBLE","",H10-G10)</x:f>
        <x:v>5</x:v>
      </x:c>
      <x:c r="J10" s="31" t="n">
        <x:f>Parameters!$F$4</x:f>
        <x:v>5</x:v>
      </x:c>
      <x:c r="K10" s="31" t="n">
        <x:f>IF(I10="","",J10-I10)</x:f>
        <x:v>0</x:v>
      </x:c>
      <x:c r="L10" s="31" t="str">
        <x:f>IF(F10="IMPOSSIBLE","BLOCKED",IF(K10&gt;=3,"SAFE",IF(K10&gt;=1,"LIGHT",IF(K10=0,"EDGE",IF(K10&gt;=-2,"PRESSURE","OVERLOAD")))))</x:f>
        <x:v>EDGE</x:v>
      </x:c>
      <x:c r="M10" s="31" t="str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1" t="n">
        <x:v>2</x:v>
      </x:c>
      <x:c r="B11" s="31" t="str">
        <x:v>OT</x:v>
      </x:c>
      <x:c r="C11" s="31" t="str">
        <x:v>MS</x:v>
      </x:c>
      <x:c r="D11" s="31" t="str"/>
      <x:c r="E11" s="31" t="str">
        <x:v>OT + MS</x:v>
      </x:c>
      <x:c r="F11" s="31" t="str"/>
      <x:c r="G11" s="31" t="n">
        <x:v>1</x:v>
      </x:c>
      <x:c r="H11" s="31" t="n">
        <x:f>SUMIF(Goals!$A$4:$A$9,B11,Goals!$C$4:$C$9)+SUMIF(Goals!$A$4:$A$9,C11,Goals!$C$4:$C$9)+SUMIF(Goals!$A$4:$A$9,D11,Goals!$C$4:$C$9)</x:f>
        <x:v>6</x:v>
      </x:c>
      <x:c r="I11" s="31" t="n">
        <x:f>IF(F11="IMPOSSIBLE","",H11-G11)</x:f>
        <x:v>5</x:v>
      </x:c>
      <x:c r="J11" s="31" t="n">
        <x:f>Parameters!$F$4</x:f>
        <x:v>5</x:v>
      </x:c>
      <x:c r="K11" s="31" t="n">
        <x:f>IF(I11="","",J11-I11)</x:f>
        <x:v>0</x:v>
      </x:c>
      <x:c r="L11" s="31" t="str">
        <x:f>IF(F11="IMPOSSIBLE","BLOCKED",IF(K11&gt;=3,"SAFE",IF(K11&gt;=1,"LIGHT",IF(K11=0,"EDGE",IF(K11&gt;=-2,"PRESSURE","OVERLOAD")))))</x:f>
        <x:v>EDGE</x:v>
      </x:c>
      <x:c r="M11" s="31" t="str">
        <x:v>YES</x:v>
      </x:c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1" t="n">
        <x:v>2</x:v>
      </x:c>
      <x:c r="B12" s="31" t="str">
        <x:v>OT</x:v>
      </x:c>
      <x:c r="C12" s="31" t="str">
        <x:v>LH</x:v>
      </x:c>
      <x:c r="D12" s="31" t="str"/>
      <x:c r="E12" s="31" t="str">
        <x:v>OT + LH</x:v>
      </x:c>
      <x:c r="F12" s="31" t="str"/>
      <x:c r="G12" s="31" t="n">
        <x:v>0</x:v>
      </x:c>
      <x:c r="H12" s="31" t="n">
        <x:f>SUMIF(Goals!$A$4:$A$9,B12,Goals!$C$4:$C$9)+SUMIF(Goals!$A$4:$A$9,C12,Goals!$C$4:$C$9)+SUMIF(Goals!$A$4:$A$9,D12,Goals!$C$4:$C$9)</x:f>
        <x:v>6</x:v>
      </x:c>
      <x:c r="I12" s="31" t="n">
        <x:f>IF(F12="IMPOSSIBLE","",H12-G12)</x:f>
        <x:v>6</x:v>
      </x:c>
      <x:c r="J12" s="31" t="n">
        <x:f>Parameters!$F$4</x:f>
        <x:v>5</x:v>
      </x:c>
      <x:c r="K12" s="31" t="n">
        <x:f>IF(I12="","",J12-I12)</x:f>
        <x:v>-1</x:v>
      </x:c>
      <x:c r="L12" s="31" t="str">
        <x:f>IF(F12="IMPOSSIBLE","BLOCKED",IF(K12&gt;=3,"SAFE",IF(K12&gt;=1,"LIGHT",IF(K12=0,"EDGE",IF(K12&gt;=-2,"PRESSURE","OVERLOAD")))))</x:f>
        <x:v>PRESSURE</x:v>
      </x:c>
      <x:c r="M12" s="31" t="str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 t="n">
        <x:v>2</x:v>
      </x:c>
      <x:c r="B13" s="31" t="str">
        <x:v>BT</x:v>
      </x:c>
      <x:c r="C13" s="31" t="str">
        <x:v>B4</x:v>
      </x:c>
      <x:c r="D13" s="31" t="str"/>
      <x:c r="E13" s="31" t="str">
        <x:v>BT + B4</x:v>
      </x:c>
      <x:c r="F13" s="31" t="str">
        <x:v>IMPOSSIBLE</x:v>
      </x:c>
      <x:c r="G13" s="31" t="n">
        <x:v>0</x:v>
      </x:c>
      <x:c r="H13" s="31" t="n">
        <x:f>SUMIF(Goals!$A$4:$A$9,B13,Goals!$C$4:$C$9)+SUMIF(Goals!$A$4:$A$9,C13,Goals!$C$4:$C$9)+SUMIF(Goals!$A$4:$A$9,D13,Goals!$C$4:$C$9)</x:f>
        <x:v>5</x:v>
      </x:c>
      <x:c r="I13" s="31" t="str">
        <x:f>IF(F13="IMPOSSIBLE","",H13-G13)</x:f>
      </x:c>
      <x:c r="J13" s="31" t="n">
        <x:f>Parameters!$F$4</x:f>
        <x:v>5</x:v>
      </x:c>
      <x:c r="K13" s="31" t="str">
        <x:f>IF(I13="","",J13-I13)</x:f>
      </x:c>
      <x:c r="L13" s="31" t="str">
        <x:f>IF(F13="IMPOSSIBLE","BLOCKED",IF(K13&gt;=3,"SAFE",IF(K13&gt;=1,"LIGHT",IF(K13=0,"EDGE",IF(K13&gt;=-2,"PRESSURE","OVERLOAD")))))</x:f>
        <x:v>BLOCKED</x:v>
      </x:c>
      <x:c r="M13" s="31" t="str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 t="n">
        <x:v>2</x:v>
      </x:c>
      <x:c r="B14" s="31" t="str">
        <x:v>BT</x:v>
      </x:c>
      <x:c r="C14" s="31" t="str">
        <x:v>MS</x:v>
      </x:c>
      <x:c r="D14" s="31" t="str"/>
      <x:c r="E14" s="31" t="str">
        <x:v>BT + MS</x:v>
      </x:c>
      <x:c r="F14" s="31" t="str"/>
      <x:c r="G14" s="31" t="n">
        <x:v>0</x:v>
      </x:c>
      <x:c r="H14" s="31" t="n">
        <x:f>SUMIF(Goals!$A$4:$A$9,B14,Goals!$C$4:$C$9)+SUMIF(Goals!$A$4:$A$9,C14,Goals!$C$4:$C$9)+SUMIF(Goals!$A$4:$A$9,D14,Goals!$C$4:$C$9)</x:f>
        <x:v>6</x:v>
      </x:c>
      <x:c r="I14" s="31" t="n">
        <x:f>IF(F14="IMPOSSIBLE","",H14-G14)</x:f>
        <x:v>6</x:v>
      </x:c>
      <x:c r="J14" s="31" t="n">
        <x:f>Parameters!$F$4</x:f>
        <x:v>5</x:v>
      </x:c>
      <x:c r="K14" s="31" t="n">
        <x:f>IF(I14="","",J14-I14)</x:f>
        <x:v>-1</x:v>
      </x:c>
      <x:c r="L14" s="31" t="str">
        <x:f>IF(F14="IMPOSSIBLE","BLOCKED",IF(K14&gt;=3,"SAFE",IF(K14&gt;=1,"LIGHT",IF(K14=0,"EDGE",IF(K14&gt;=-2,"PRESSURE","OVERLOAD")))))</x:f>
        <x:v>PRESSURE</x:v>
      </x:c>
      <x:c r="M14" s="31" t="str">
        <x:v>YES</x:v>
      </x:c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 t="n">
        <x:v>2</x:v>
      </x:c>
      <x:c r="B15" s="31" t="str">
        <x:v>BT</x:v>
      </x:c>
      <x:c r="C15" s="31" t="str">
        <x:v>LH</x:v>
      </x:c>
      <x:c r="D15" s="31" t="str"/>
      <x:c r="E15" s="31" t="str">
        <x:v>BT + LH</x:v>
      </x:c>
      <x:c r="F15" s="31" t="str"/>
      <x:c r="G15" s="31" t="n">
        <x:v>0</x:v>
      </x:c>
      <x:c r="H15" s="31" t="n">
        <x:f>SUMIF(Goals!$A$4:$A$9,B15,Goals!$C$4:$C$9)+SUMIF(Goals!$A$4:$A$9,C15,Goals!$C$4:$C$9)+SUMIF(Goals!$A$4:$A$9,D15,Goals!$C$4:$C$9)</x:f>
        <x:v>6</x:v>
      </x:c>
      <x:c r="I15" s="31" t="n">
        <x:f>IF(F15="IMPOSSIBLE","",H15-G15)</x:f>
        <x:v>6</x:v>
      </x:c>
      <x:c r="J15" s="31" t="n">
        <x:f>Parameters!$F$4</x:f>
        <x:v>5</x:v>
      </x:c>
      <x:c r="K15" s="31" t="n">
        <x:f>IF(I15="","",J15-I15)</x:f>
        <x:v>-1</x:v>
      </x:c>
      <x:c r="L15" s="31" t="str">
        <x:f>IF(F15="IMPOSSIBLE","BLOCKED",IF(K15&gt;=3,"SAFE",IF(K15&gt;=1,"LIGHT",IF(K15=0,"EDGE",IF(K15&gt;=-2,"PRESSURE","OVERLOAD")))))</x:f>
        <x:v>PRESSURE</x:v>
      </x:c>
      <x:c r="M15" s="31" t="str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 t="n">
        <x:v>2</x:v>
      </x:c>
      <x:c r="B16" s="31" t="str">
        <x:v>B4</x:v>
      </x:c>
      <x:c r="C16" s="31" t="str">
        <x:v>MS</x:v>
      </x:c>
      <x:c r="D16" s="31" t="str"/>
      <x:c r="E16" s="31" t="str">
        <x:v>B4 + MS</x:v>
      </x:c>
      <x:c r="F16" s="31" t="str"/>
      <x:c r="G16" s="31" t="n">
        <x:v>0</x:v>
      </x:c>
      <x:c r="H16" s="31" t="n">
        <x:f>SUMIF(Goals!$A$4:$A$9,B16,Goals!$C$4:$C$9)+SUMIF(Goals!$A$4:$A$9,C16,Goals!$C$4:$C$9)+SUMIF(Goals!$A$4:$A$9,D16,Goals!$C$4:$C$9)</x:f>
        <x:v>7</x:v>
      </x:c>
      <x:c r="I16" s="31" t="n">
        <x:f>IF(F16="IMPOSSIBLE","",H16-G16)</x:f>
        <x:v>7</x:v>
      </x:c>
      <x:c r="J16" s="31" t="n">
        <x:f>Parameters!$F$4</x:f>
        <x:v>5</x:v>
      </x:c>
      <x:c r="K16" s="31" t="n">
        <x:f>IF(I16="","",J16-I16)</x:f>
        <x:v>-2</x:v>
      </x:c>
      <x:c r="L16" s="31" t="str">
        <x:f>IF(F16="IMPOSSIBLE","BLOCKED",IF(K16&gt;=3,"SAFE",IF(K16&gt;=1,"LIGHT",IF(K16=0,"EDGE",IF(K16&gt;=-2,"PRESSURE","OVERLOAD")))))</x:f>
        <x:v>PRESSURE</x:v>
      </x:c>
      <x:c r="M16" s="31" t="str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 t="n">
        <x:v>2</x:v>
      </x:c>
      <x:c r="B17" s="31" t="str">
        <x:v>B4</x:v>
      </x:c>
      <x:c r="C17" s="31" t="str">
        <x:v>LH</x:v>
      </x:c>
      <x:c r="D17" s="31" t="str"/>
      <x:c r="E17" s="31" t="str">
        <x:v>B4 + LH</x:v>
      </x:c>
      <x:c r="F17" s="31" t="str"/>
      <x:c r="G17" s="31" t="n">
        <x:v>0</x:v>
      </x:c>
      <x:c r="H17" s="31" t="n">
        <x:f>SUMIF(Goals!$A$4:$A$9,B17,Goals!$C$4:$C$9)+SUMIF(Goals!$A$4:$A$9,C17,Goals!$C$4:$C$9)+SUMIF(Goals!$A$4:$A$9,D17,Goals!$C$4:$C$9)</x:f>
        <x:v>7</x:v>
      </x:c>
      <x:c r="I17" s="31" t="n">
        <x:f>IF(F17="IMPOSSIBLE","",H17-G17)</x:f>
        <x:v>7</x:v>
      </x:c>
      <x:c r="J17" s="31" t="n">
        <x:f>Parameters!$F$4</x:f>
        <x:v>5</x:v>
      </x:c>
      <x:c r="K17" s="31" t="n">
        <x:f>IF(I17="","",J17-I17)</x:f>
        <x:v>-2</x:v>
      </x:c>
      <x:c r="L17" s="31" t="str">
        <x:f>IF(F17="IMPOSSIBLE","BLOCKED",IF(K17&gt;=3,"SAFE",IF(K17&gt;=1,"LIGHT",IF(K17=0,"EDGE",IF(K17&gt;=-2,"PRESSURE","OVERLOAD")))))</x:f>
        <x:v>PRESSURE</x:v>
      </x:c>
      <x:c r="M17" s="31" t="str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 t="n">
        <x:v>2</x:v>
      </x:c>
      <x:c r="B18" s="31" t="str">
        <x:v>MS</x:v>
      </x:c>
      <x:c r="C18" s="31" t="str">
        <x:v>LH</x:v>
      </x:c>
      <x:c r="D18" s="31" t="str"/>
      <x:c r="E18" s="31" t="str">
        <x:v>MS + LH</x:v>
      </x:c>
      <x:c r="F18" s="31" t="str">
        <x:v>IMPOSSIBLE</x:v>
      </x:c>
      <x:c r="G18" s="31" t="n">
        <x:v>0</x:v>
      </x:c>
      <x:c r="H18" s="31" t="n">
        <x:f>SUMIF(Goals!$A$4:$A$9,B18,Goals!$C$4:$C$9)+SUMIF(Goals!$A$4:$A$9,C18,Goals!$C$4:$C$9)+SUMIF(Goals!$A$4:$A$9,D18,Goals!$C$4:$C$9)</x:f>
        <x:v>8</x:v>
      </x:c>
      <x:c r="I18" s="31" t="str">
        <x:f>IF(F18="IMPOSSIBLE","",H18-G18)</x:f>
      </x:c>
      <x:c r="J18" s="31" t="n">
        <x:f>Parameters!$F$4</x:f>
        <x:v>5</x:v>
      </x:c>
      <x:c r="K18" s="31" t="str">
        <x:f>IF(I18="","",J18-I18)</x:f>
      </x:c>
      <x:c r="L18" s="31" t="str">
        <x:f>IF(F18="IMPOSSIBLE","BLOCKED",IF(K18&gt;=3,"SAFE",IF(K18&gt;=1,"LIGHT",IF(K18=0,"EDGE",IF(K18&gt;=-2,"PRESSURE","OVERLOAD")))))</x:f>
        <x:v>BLOCKED</x:v>
      </x:c>
      <x:c r="M18" s="31" t="str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 t="n">
        <x:v>3</x:v>
      </x:c>
      <x:c r="B19" s="31" t="str">
        <x:v>ST</x:v>
      </x:c>
      <x:c r="C19" s="31" t="str">
        <x:v>OT</x:v>
      </x:c>
      <x:c r="D19" s="31" t="str">
        <x:v>BT</x:v>
      </x:c>
      <x:c r="E19" s="31" t="str">
        <x:v>ST + OT + BT</x:v>
      </x:c>
      <x:c r="F19" s="31" t="str"/>
      <x:c r="G19" s="31" t="n">
        <x:v>0</x:v>
      </x:c>
      <x:c r="H19" s="31" t="n">
        <x:f>SUMIF(Goals!$A$4:$A$9,B19,Goals!$C$4:$C$9)+SUMIF(Goals!$A$4:$A$9,C19,Goals!$C$4:$C$9)+SUMIF(Goals!$A$4:$A$9,D19,Goals!$C$4:$C$9)</x:f>
        <x:v>6</x:v>
      </x:c>
      <x:c r="I19" s="31" t="n">
        <x:f>IF(F19="IMPOSSIBLE","",H19-G19)</x:f>
        <x:v>6</x:v>
      </x:c>
      <x:c r="J19" s="31" t="n">
        <x:f>Parameters!$F$4</x:f>
        <x:v>5</x:v>
      </x:c>
      <x:c r="K19" s="31" t="n">
        <x:f>IF(I19="","",J19-I19)</x:f>
        <x:v>-1</x:v>
      </x:c>
      <x:c r="L19" s="31" t="str">
        <x:f>IF(F19="IMPOSSIBLE","BLOCKED",IF(K19&gt;=3,"SAFE",IF(K19&gt;=1,"LIGHT",IF(K19=0,"EDGE",IF(K19&gt;=-2,"PRESSURE","OVERLOAD")))))</x:f>
        <x:v>PRESSURE</x:v>
      </x:c>
      <x:c r="M19" s="31" t="str">
        <x:v>YES</x:v>
      </x:c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 t="n">
        <x:v>3</x:v>
      </x:c>
      <x:c r="B20" s="31" t="str">
        <x:v>ST</x:v>
      </x:c>
      <x:c r="C20" s="31" t="str">
        <x:v>OT</x:v>
      </x:c>
      <x:c r="D20" s="31" t="str">
        <x:v>B4</x:v>
      </x:c>
      <x:c r="E20" s="31" t="str">
        <x:v>ST + OT + B4</x:v>
      </x:c>
      <x:c r="F20" s="31" t="str"/>
      <x:c r="G20" s="31" t="n">
        <x:v>0</x:v>
      </x:c>
      <x:c r="H20" s="31" t="n">
        <x:f>SUMIF(Goals!$A$4:$A$9,B20,Goals!$C$4:$C$9)+SUMIF(Goals!$A$4:$A$9,C20,Goals!$C$4:$C$9)+SUMIF(Goals!$A$4:$A$9,D20,Goals!$C$4:$C$9)</x:f>
        <x:v>7</x:v>
      </x:c>
      <x:c r="I20" s="31" t="n">
        <x:f>IF(F20="IMPOSSIBLE","",H20-G20)</x:f>
        <x:v>7</x:v>
      </x:c>
      <x:c r="J20" s="31" t="n">
        <x:f>Parameters!$F$4</x:f>
        <x:v>5</x:v>
      </x:c>
      <x:c r="K20" s="31" t="n">
        <x:f>IF(I20="","",J20-I20)</x:f>
        <x:v>-2</x:v>
      </x:c>
      <x:c r="L20" s="31" t="str">
        <x:f>IF(F20="IMPOSSIBLE","BLOCKED",IF(K20&gt;=3,"SAFE",IF(K20&gt;=1,"LIGHT",IF(K20=0,"EDGE",IF(K20&gt;=-2,"PRESSURE","OVERLOAD")))))</x:f>
        <x:v>PRESSURE</x:v>
      </x:c>
      <x:c r="M20" s="31" t="str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 t="n">
        <x:v>3</x:v>
      </x:c>
      <x:c r="B21" s="31" t="str">
        <x:v>ST</x:v>
      </x:c>
      <x:c r="C21" s="31" t="str">
        <x:v>OT</x:v>
      </x:c>
      <x:c r="D21" s="31" t="str">
        <x:v>MS</x:v>
      </x:c>
      <x:c r="E21" s="31" t="str">
        <x:v>ST + OT + MS</x:v>
      </x:c>
      <x:c r="F21" s="31" t="str">
        <x:v>IMPOSSIBLE</x:v>
      </x:c>
      <x:c r="G21" s="31" t="n">
        <x:v>1</x:v>
      </x:c>
      <x:c r="H21" s="31" t="n">
        <x:f>SUMIF(Goals!$A$4:$A$9,B21,Goals!$C$4:$C$9)+SUMIF(Goals!$A$4:$A$9,C21,Goals!$C$4:$C$9)+SUMIF(Goals!$A$4:$A$9,D21,Goals!$C$4:$C$9)</x:f>
        <x:v>8</x:v>
      </x:c>
      <x:c r="I21" s="31" t="str">
        <x:f>IF(F21="IMPOSSIBLE","",H21-G21)</x:f>
      </x:c>
      <x:c r="J21" s="31" t="n">
        <x:f>Parameters!$F$4</x:f>
        <x:v>5</x:v>
      </x:c>
      <x:c r="K21" s="31" t="str">
        <x:f>IF(I21="","",J21-I21)</x:f>
      </x:c>
      <x:c r="L21" s="31" t="str">
        <x:f>IF(F21="IMPOSSIBLE","BLOCKED",IF(K21&gt;=3,"SAFE",IF(K21&gt;=1,"LIGHT",IF(K21=0,"EDGE",IF(K21&gt;=-2,"PRESSURE","OVERLOAD")))))</x:f>
        <x:v>BLOCKED</x:v>
      </x:c>
      <x:c r="M21" s="31" t="str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 t="n">
        <x:v>3</x:v>
      </x:c>
      <x:c r="B22" s="31" t="str">
        <x:v>ST</x:v>
      </x:c>
      <x:c r="C22" s="31" t="str">
        <x:v>OT</x:v>
      </x:c>
      <x:c r="D22" s="31" t="str">
        <x:v>LH</x:v>
      </x:c>
      <x:c r="E22" s="31" t="str">
        <x:v>ST + OT + LH</x:v>
      </x:c>
      <x:c r="F22" s="31" t="str">
        <x:v>IMPOSSIBLE</x:v>
      </x:c>
      <x:c r="G22" s="31" t="n">
        <x:v>0</x:v>
      </x:c>
      <x:c r="H22" s="31" t="n">
        <x:f>SUMIF(Goals!$A$4:$A$9,B22,Goals!$C$4:$C$9)+SUMIF(Goals!$A$4:$A$9,C22,Goals!$C$4:$C$9)+SUMIF(Goals!$A$4:$A$9,D22,Goals!$C$4:$C$9)</x:f>
        <x:v>8</x:v>
      </x:c>
      <x:c r="I22" s="31" t="str">
        <x:f>IF(F22="IMPOSSIBLE","",H22-G22)</x:f>
      </x:c>
      <x:c r="J22" s="31" t="n">
        <x:f>Parameters!$F$4</x:f>
        <x:v>5</x:v>
      </x:c>
      <x:c r="K22" s="31" t="str">
        <x:f>IF(I22="","",J22-I22)</x:f>
      </x:c>
      <x:c r="L22" s="31" t="str">
        <x:f>IF(F22="IMPOSSIBLE","BLOCKED",IF(K22&gt;=3,"SAFE",IF(K22&gt;=1,"LIGHT",IF(K22=0,"EDGE",IF(K22&gt;=-2,"PRESSURE","OVERLOAD")))))</x:f>
        <x:v>BLOCKED</x:v>
      </x:c>
      <x:c r="M22" s="31" t="str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 t="n">
        <x:v>3</x:v>
      </x:c>
      <x:c r="B23" s="31" t="str">
        <x:v>ST</x:v>
      </x:c>
      <x:c r="C23" s="31" t="str">
        <x:v>BT</x:v>
      </x:c>
      <x:c r="D23" s="31" t="str">
        <x:v>B4</x:v>
      </x:c>
      <x:c r="E23" s="31" t="str">
        <x:v>ST + BT + B4</x:v>
      </x:c>
      <x:c r="F23" s="31" t="str">
        <x:v>IMPOSSIBLE</x:v>
      </x:c>
      <x:c r="G23" s="31" t="n">
        <x:v>0</x:v>
      </x:c>
      <x:c r="H23" s="31" t="n">
        <x:f>SUMIF(Goals!$A$4:$A$9,B23,Goals!$C$4:$C$9)+SUMIF(Goals!$A$4:$A$9,C23,Goals!$C$4:$C$9)+SUMIF(Goals!$A$4:$A$9,D23,Goals!$C$4:$C$9)</x:f>
        <x:v>7</x:v>
      </x:c>
      <x:c r="I23" s="31" t="str">
        <x:f>IF(F23="IMPOSSIBLE","",H23-G23)</x:f>
      </x:c>
      <x:c r="J23" s="31" t="n">
        <x:f>Parameters!$F$4</x:f>
        <x:v>5</x:v>
      </x:c>
      <x:c r="K23" s="31" t="str">
        <x:f>IF(I23="","",J23-I23)</x:f>
      </x:c>
      <x:c r="L23" s="31" t="str">
        <x:f>IF(F23="IMPOSSIBLE","BLOCKED",IF(K23&gt;=3,"SAFE",IF(K23&gt;=1,"LIGHT",IF(K23=0,"EDGE",IF(K23&gt;=-2,"PRESSURE","OVERLOAD")))))</x:f>
        <x:v>BLOCKED</x:v>
      </x:c>
      <x:c r="M23" s="31" t="str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 t="n">
        <x:v>3</x:v>
      </x:c>
      <x:c r="B24" s="31" t="str">
        <x:v>ST</x:v>
      </x:c>
      <x:c r="C24" s="31" t="str">
        <x:v>BT</x:v>
      </x:c>
      <x:c r="D24" s="31" t="str">
        <x:v>MS</x:v>
      </x:c>
      <x:c r="E24" s="31" t="str">
        <x:v>ST + BT + MS</x:v>
      </x:c>
      <x:c r="F24" s="31" t="str">
        <x:v>IMPOSSIBLE</x:v>
      </x:c>
      <x:c r="G24" s="31" t="n">
        <x:v>0</x:v>
      </x:c>
      <x:c r="H24" s="31" t="n">
        <x:f>SUMIF(Goals!$A$4:$A$9,B24,Goals!$C$4:$C$9)+SUMIF(Goals!$A$4:$A$9,C24,Goals!$C$4:$C$9)+SUMIF(Goals!$A$4:$A$9,D24,Goals!$C$4:$C$9)</x:f>
        <x:v>8</x:v>
      </x:c>
      <x:c r="I24" s="31" t="str">
        <x:f>IF(F24="IMPOSSIBLE","",H24-G24)</x:f>
      </x:c>
      <x:c r="J24" s="31" t="n">
        <x:f>Parameters!$F$4</x:f>
        <x:v>5</x:v>
      </x:c>
      <x:c r="K24" s="31" t="str">
        <x:f>IF(I24="","",J24-I24)</x:f>
      </x:c>
      <x:c r="L24" s="31" t="str">
        <x:f>IF(F24="IMPOSSIBLE","BLOCKED",IF(K24&gt;=3,"SAFE",IF(K24&gt;=1,"LIGHT",IF(K24=0,"EDGE",IF(K24&gt;=-2,"PRESSURE","OVERLOAD")))))</x:f>
        <x:v>BLOCKED</x:v>
      </x:c>
      <x:c r="M24" s="31" t="str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 t="n">
        <x:v>3</x:v>
      </x:c>
      <x:c r="B25" s="31" t="str">
        <x:v>ST</x:v>
      </x:c>
      <x:c r="C25" s="31" t="str">
        <x:v>BT</x:v>
      </x:c>
      <x:c r="D25" s="31" t="str">
        <x:v>LH</x:v>
      </x:c>
      <x:c r="E25" s="31" t="str">
        <x:v>ST + BT + LH</x:v>
      </x:c>
      <x:c r="F25" s="31" t="str">
        <x:v>IMPOSSIBLE</x:v>
      </x:c>
      <x:c r="G25" s="31" t="n">
        <x:v>0</x:v>
      </x:c>
      <x:c r="H25" s="31" t="n">
        <x:f>SUMIF(Goals!$A$4:$A$9,B25,Goals!$C$4:$C$9)+SUMIF(Goals!$A$4:$A$9,C25,Goals!$C$4:$C$9)+SUMIF(Goals!$A$4:$A$9,D25,Goals!$C$4:$C$9)</x:f>
        <x:v>8</x:v>
      </x:c>
      <x:c r="I25" s="31" t="str">
        <x:f>IF(F25="IMPOSSIBLE","",H25-G25)</x:f>
      </x:c>
      <x:c r="J25" s="31" t="n">
        <x:f>Parameters!$F$4</x:f>
        <x:v>5</x:v>
      </x:c>
      <x:c r="K25" s="31" t="str">
        <x:f>IF(I25="","",J25-I25)</x:f>
      </x:c>
      <x:c r="L25" s="31" t="str">
        <x:f>IF(F25="IMPOSSIBLE","BLOCKED",IF(K25&gt;=3,"SAFE",IF(K25&gt;=1,"LIGHT",IF(K25=0,"EDGE",IF(K25&gt;=-2,"PRESSURE","OVERLOAD")))))</x:f>
        <x:v>BLOCKED</x:v>
      </x:c>
      <x:c r="M25" s="31" t="str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 t="n">
        <x:v>3</x:v>
      </x:c>
      <x:c r="B26" s="31" t="str">
        <x:v>ST</x:v>
      </x:c>
      <x:c r="C26" s="31" t="str">
        <x:v>B4</x:v>
      </x:c>
      <x:c r="D26" s="31" t="str">
        <x:v>MS</x:v>
      </x:c>
      <x:c r="E26" s="31" t="str">
        <x:v>ST + B4 + MS</x:v>
      </x:c>
      <x:c r="F26" s="31" t="str">
        <x:v>IMPOSSIBLE</x:v>
      </x:c>
      <x:c r="G26" s="31" t="n">
        <x:v>0</x:v>
      </x:c>
      <x:c r="H26" s="31" t="n">
        <x:f>SUMIF(Goals!$A$4:$A$9,B26,Goals!$C$4:$C$9)+SUMIF(Goals!$A$4:$A$9,C26,Goals!$C$4:$C$9)+SUMIF(Goals!$A$4:$A$9,D26,Goals!$C$4:$C$9)</x:f>
        <x:v>9</x:v>
      </x:c>
      <x:c r="I26" s="31" t="str">
        <x:f>IF(F26="IMPOSSIBLE","",H26-G26)</x:f>
      </x:c>
      <x:c r="J26" s="31" t="n">
        <x:f>Parameters!$F$4</x:f>
        <x:v>5</x:v>
      </x:c>
      <x:c r="K26" s="31" t="str">
        <x:f>IF(I26="","",J26-I26)</x:f>
      </x:c>
      <x:c r="L26" s="31" t="str">
        <x:f>IF(F26="IMPOSSIBLE","BLOCKED",IF(K26&gt;=3,"SAFE",IF(K26&gt;=1,"LIGHT",IF(K26=0,"EDGE",IF(K26&gt;=-2,"PRESSURE","OVERLOAD")))))</x:f>
        <x:v>BLOCKED</x:v>
      </x:c>
      <x:c r="M26" s="31" t="str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 t="n">
        <x:v>3</x:v>
      </x:c>
      <x:c r="B27" s="31" t="str">
        <x:v>ST</x:v>
      </x:c>
      <x:c r="C27" s="31" t="str">
        <x:v>B4</x:v>
      </x:c>
      <x:c r="D27" s="31" t="str">
        <x:v>LH</x:v>
      </x:c>
      <x:c r="E27" s="31" t="str">
        <x:v>ST + B4 + LH</x:v>
      </x:c>
      <x:c r="F27" s="31" t="str">
        <x:v>IMPOSSIBLE</x:v>
      </x:c>
      <x:c r="G27" s="31" t="n">
        <x:v>0</x:v>
      </x:c>
      <x:c r="H27" s="31" t="n">
        <x:f>SUMIF(Goals!$A$4:$A$9,B27,Goals!$C$4:$C$9)+SUMIF(Goals!$A$4:$A$9,C27,Goals!$C$4:$C$9)+SUMIF(Goals!$A$4:$A$9,D27,Goals!$C$4:$C$9)</x:f>
        <x:v>9</x:v>
      </x:c>
      <x:c r="I27" s="31" t="str">
        <x:f>IF(F27="IMPOSSIBLE","",H27-G27)</x:f>
      </x:c>
      <x:c r="J27" s="31" t="n">
        <x:f>Parameters!$F$4</x:f>
        <x:v>5</x:v>
      </x:c>
      <x:c r="K27" s="31" t="str">
        <x:f>IF(I27="","",J27-I27)</x:f>
      </x:c>
      <x:c r="L27" s="31" t="str">
        <x:f>IF(F27="IMPOSSIBLE","BLOCKED",IF(K27&gt;=3,"SAFE",IF(K27&gt;=1,"LIGHT",IF(K27=0,"EDGE",IF(K27&gt;=-2,"PRESSURE","OVERLOAD")))))</x:f>
        <x:v>BLOCKED</x:v>
      </x:c>
      <x:c r="M27" s="31" t="str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 t="n">
        <x:v>3</x:v>
      </x:c>
      <x:c r="B28" s="31" t="str">
        <x:v>ST</x:v>
      </x:c>
      <x:c r="C28" s="31" t="str">
        <x:v>MS</x:v>
      </x:c>
      <x:c r="D28" s="31" t="str">
        <x:v>LH</x:v>
      </x:c>
      <x:c r="E28" s="31" t="str">
        <x:v>ST + MS + LH</x:v>
      </x:c>
      <x:c r="F28" s="31" t="str">
        <x:v>IMPOSSIBLE</x:v>
      </x:c>
      <x:c r="G28" s="31" t="n">
        <x:v>0</x:v>
      </x:c>
      <x:c r="H28" s="31" t="n">
        <x:f>SUMIF(Goals!$A$4:$A$9,B28,Goals!$C$4:$C$9)+SUMIF(Goals!$A$4:$A$9,C28,Goals!$C$4:$C$9)+SUMIF(Goals!$A$4:$A$9,D28,Goals!$C$4:$C$9)</x:f>
        <x:v>10</x:v>
      </x:c>
      <x:c r="I28" s="31" t="str">
        <x:f>IF(F28="IMPOSSIBLE","",H28-G28)</x:f>
      </x:c>
      <x:c r="J28" s="31" t="n">
        <x:f>Parameters!$F$4</x:f>
        <x:v>5</x:v>
      </x:c>
      <x:c r="K28" s="31" t="str">
        <x:f>IF(I28="","",J28-I28)</x:f>
      </x:c>
      <x:c r="L28" s="31" t="str">
        <x:f>IF(F28="IMPOSSIBLE","BLOCKED",IF(K28&gt;=3,"SAFE",IF(K28&gt;=1,"LIGHT",IF(K28=0,"EDGE",IF(K28&gt;=-2,"PRESSURE","OVERLOAD")))))</x:f>
        <x:v>BLOCKED</x:v>
      </x:c>
      <x:c r="M28" s="31" t="str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 t="n">
        <x:v>3</x:v>
      </x:c>
      <x:c r="B29" s="31" t="str">
        <x:v>OT</x:v>
      </x:c>
      <x:c r="C29" s="31" t="str">
        <x:v>BT</x:v>
      </x:c>
      <x:c r="D29" s="31" t="str">
        <x:v>B4</x:v>
      </x:c>
      <x:c r="E29" s="31" t="str">
        <x:v>OT + BT + B4</x:v>
      </x:c>
      <x:c r="F29" s="31" t="str">
        <x:v>IMPOSSIBLE</x:v>
      </x:c>
      <x:c r="G29" s="31" t="n">
        <x:v>0</x:v>
      </x:c>
      <x:c r="H29" s="31" t="n">
        <x:f>SUMIF(Goals!$A$4:$A$9,B29,Goals!$C$4:$C$9)+SUMIF(Goals!$A$4:$A$9,C29,Goals!$C$4:$C$9)+SUMIF(Goals!$A$4:$A$9,D29,Goals!$C$4:$C$9)</x:f>
        <x:v>7</x:v>
      </x:c>
      <x:c r="I29" s="31" t="str">
        <x:f>IF(F29="IMPOSSIBLE","",H29-G29)</x:f>
      </x:c>
      <x:c r="J29" s="31" t="n">
        <x:f>Parameters!$F$4</x:f>
        <x:v>5</x:v>
      </x:c>
      <x:c r="K29" s="31" t="str">
        <x:f>IF(I29="","",J29-I29)</x:f>
      </x:c>
      <x:c r="L29" s="31" t="str">
        <x:f>IF(F29="IMPOSSIBLE","BLOCKED",IF(K29&gt;=3,"SAFE",IF(K29&gt;=1,"LIGHT",IF(K29=0,"EDGE",IF(K29&gt;=-2,"PRESSURE","OVERLOAD")))))</x:f>
        <x:v>BLOCKED</x:v>
      </x:c>
      <x:c r="M29" s="31" t="str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 t="n">
        <x:v>3</x:v>
      </x:c>
      <x:c r="B30" s="31" t="str">
        <x:v>OT</x:v>
      </x:c>
      <x:c r="C30" s="31" t="str">
        <x:v>BT</x:v>
      </x:c>
      <x:c r="D30" s="31" t="str">
        <x:v>MS</x:v>
      </x:c>
      <x:c r="E30" s="31" t="str">
        <x:v>OT + BT + MS</x:v>
      </x:c>
      <x:c r="F30" s="31" t="str"/>
      <x:c r="G30" s="31" t="n">
        <x:v>1</x:v>
      </x:c>
      <x:c r="H30" s="31" t="n">
        <x:f>SUMIF(Goals!$A$4:$A$9,B30,Goals!$C$4:$C$9)+SUMIF(Goals!$A$4:$A$9,C30,Goals!$C$4:$C$9)+SUMIF(Goals!$A$4:$A$9,D30,Goals!$C$4:$C$9)</x:f>
        <x:v>8</x:v>
      </x:c>
      <x:c r="I30" s="31" t="n">
        <x:f>IF(F30="IMPOSSIBLE","",H30-G30)</x:f>
        <x:v>7</x:v>
      </x:c>
      <x:c r="J30" s="31" t="n">
        <x:f>Parameters!$F$4</x:f>
        <x:v>5</x:v>
      </x:c>
      <x:c r="K30" s="31" t="n">
        <x:f>IF(I30="","",J30-I30)</x:f>
        <x:v>-2</x:v>
      </x:c>
      <x:c r="L30" s="31" t="str">
        <x:f>IF(F30="IMPOSSIBLE","BLOCKED",IF(K30&gt;=3,"SAFE",IF(K30&gt;=1,"LIGHT",IF(K30=0,"EDGE",IF(K30&gt;=-2,"PRESSURE","OVERLOAD")))))</x:f>
        <x:v>PRESSURE</x:v>
      </x:c>
      <x:c r="M30" s="31" t="str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 t="n">
        <x:v>3</x:v>
      </x:c>
      <x:c r="B31" s="31" t="str">
        <x:v>OT</x:v>
      </x:c>
      <x:c r="C31" s="31" t="str">
        <x:v>BT</x:v>
      </x:c>
      <x:c r="D31" s="31" t="str">
        <x:v>LH</x:v>
      </x:c>
      <x:c r="E31" s="31" t="str">
        <x:v>OT + BT + LH</x:v>
      </x:c>
      <x:c r="F31" s="31" t="str"/>
      <x:c r="G31" s="31" t="n">
        <x:v>0</x:v>
      </x:c>
      <x:c r="H31" s="31" t="n">
        <x:f>SUMIF(Goals!$A$4:$A$9,B31,Goals!$C$4:$C$9)+SUMIF(Goals!$A$4:$A$9,C31,Goals!$C$4:$C$9)+SUMIF(Goals!$A$4:$A$9,D31,Goals!$C$4:$C$9)</x:f>
        <x:v>8</x:v>
      </x:c>
      <x:c r="I31" s="31" t="n">
        <x:f>IF(F31="IMPOSSIBLE","",H31-G31)</x:f>
        <x:v>8</x:v>
      </x:c>
      <x:c r="J31" s="31" t="n">
        <x:f>Parameters!$F$4</x:f>
        <x:v>5</x:v>
      </x:c>
      <x:c r="K31" s="31" t="n">
        <x:f>IF(I31="","",J31-I31)</x:f>
        <x:v>-3</x:v>
      </x:c>
      <x:c r="L31" s="31" t="str">
        <x:f>IF(F31="IMPOSSIBLE","BLOCKED",IF(K31&gt;=3,"SAFE",IF(K31&gt;=1,"LIGHT",IF(K31=0,"EDGE",IF(K31&gt;=-2,"PRESSURE","OVERLOAD")))))</x:f>
        <x:v>OVERLOAD</x:v>
      </x:c>
      <x:c r="M31" s="31" t="str">
        <x:v>YES</x:v>
      </x:c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 t="n">
        <x:v>3</x:v>
      </x:c>
      <x:c r="B32" s="31" t="str">
        <x:v>OT</x:v>
      </x:c>
      <x:c r="C32" s="31" t="str">
        <x:v>B4</x:v>
      </x:c>
      <x:c r="D32" s="31" t="str">
        <x:v>MS</x:v>
      </x:c>
      <x:c r="E32" s="31" t="str">
        <x:v>OT + B4 + MS</x:v>
      </x:c>
      <x:c r="F32" s="31" t="str"/>
      <x:c r="G32" s="31" t="n">
        <x:v>1</x:v>
      </x:c>
      <x:c r="H32" s="31" t="n">
        <x:f>SUMIF(Goals!$A$4:$A$9,B32,Goals!$C$4:$C$9)+SUMIF(Goals!$A$4:$A$9,C32,Goals!$C$4:$C$9)+SUMIF(Goals!$A$4:$A$9,D32,Goals!$C$4:$C$9)</x:f>
        <x:v>9</x:v>
      </x:c>
      <x:c r="I32" s="31" t="n">
        <x:f>IF(F32="IMPOSSIBLE","",H32-G32)</x:f>
        <x:v>8</x:v>
      </x:c>
      <x:c r="J32" s="31" t="n">
        <x:f>Parameters!$F$4</x:f>
        <x:v>5</x:v>
      </x:c>
      <x:c r="K32" s="31" t="n">
        <x:f>IF(I32="","",J32-I32)</x:f>
        <x:v>-3</x:v>
      </x:c>
      <x:c r="L32" s="31" t="str">
        <x:f>IF(F32="IMPOSSIBLE","BLOCKED",IF(K32&gt;=3,"SAFE",IF(K32&gt;=1,"LIGHT",IF(K32=0,"EDGE",IF(K32&gt;=-2,"PRESSURE","OVERLOAD")))))</x:f>
        <x:v>OVERLOAD</x:v>
      </x:c>
      <x:c r="M32" s="31" t="str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 t="n">
        <x:v>3</x:v>
      </x:c>
      <x:c r="B33" s="31" t="str">
        <x:v>OT</x:v>
      </x:c>
      <x:c r="C33" s="31" t="str">
        <x:v>B4</x:v>
      </x:c>
      <x:c r="D33" s="31" t="str">
        <x:v>LH</x:v>
      </x:c>
      <x:c r="E33" s="31" t="str">
        <x:v>OT + B4 + LH</x:v>
      </x:c>
      <x:c r="F33" s="31" t="str"/>
      <x:c r="G33" s="31" t="n">
        <x:v>0</x:v>
      </x:c>
      <x:c r="H33" s="31" t="n">
        <x:f>SUMIF(Goals!$A$4:$A$9,B33,Goals!$C$4:$C$9)+SUMIF(Goals!$A$4:$A$9,C33,Goals!$C$4:$C$9)+SUMIF(Goals!$A$4:$A$9,D33,Goals!$C$4:$C$9)</x:f>
        <x:v>9</x:v>
      </x:c>
      <x:c r="I33" s="31" t="n">
        <x:f>IF(F33="IMPOSSIBLE","",H33-G33)</x:f>
        <x:v>9</x:v>
      </x:c>
      <x:c r="J33" s="31" t="n">
        <x:f>Parameters!$F$4</x:f>
        <x:v>5</x:v>
      </x:c>
      <x:c r="K33" s="31" t="n">
        <x:f>IF(I33="","",J33-I33)</x:f>
        <x:v>-4</x:v>
      </x:c>
      <x:c r="L33" s="31" t="str">
        <x:f>IF(F33="IMPOSSIBLE","BLOCKED",IF(K33&gt;=3,"SAFE",IF(K33&gt;=1,"LIGHT",IF(K33=0,"EDGE",IF(K33&gt;=-2,"PRESSURE","OVERLOAD")))))</x:f>
        <x:v>OVERLOAD</x:v>
      </x:c>
      <x:c r="M33" s="31" t="str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 t="n">
        <x:v>3</x:v>
      </x:c>
      <x:c r="B34" s="31" t="str">
        <x:v>OT</x:v>
      </x:c>
      <x:c r="C34" s="31" t="str">
        <x:v>MS</x:v>
      </x:c>
      <x:c r="D34" s="31" t="str">
        <x:v>LH</x:v>
      </x:c>
      <x:c r="E34" s="31" t="str">
        <x:v>OT + MS + LH</x:v>
      </x:c>
      <x:c r="F34" s="31" t="str">
        <x:v>IMPOSSIBLE</x:v>
      </x:c>
      <x:c r="G34" s="31" t="n">
        <x:v>1</x:v>
      </x:c>
      <x:c r="H34" s="31" t="n">
        <x:f>SUMIF(Goals!$A$4:$A$9,B34,Goals!$C$4:$C$9)+SUMIF(Goals!$A$4:$A$9,C34,Goals!$C$4:$C$9)+SUMIF(Goals!$A$4:$A$9,D34,Goals!$C$4:$C$9)</x:f>
        <x:v>10</x:v>
      </x:c>
      <x:c r="I34" s="31" t="str">
        <x:f>IF(F34="IMPOSSIBLE","",H34-G34)</x:f>
      </x:c>
      <x:c r="J34" s="31" t="n">
        <x:f>Parameters!$F$4</x:f>
        <x:v>5</x:v>
      </x:c>
      <x:c r="K34" s="31" t="str">
        <x:f>IF(I34="","",J34-I34)</x:f>
      </x:c>
      <x:c r="L34" s="31" t="str">
        <x:f>IF(F34="IMPOSSIBLE","BLOCKED",IF(K34&gt;=3,"SAFE",IF(K34&gt;=1,"LIGHT",IF(K34=0,"EDGE",IF(K34&gt;=-2,"PRESSURE","OVERLOAD")))))</x:f>
        <x:v>BLOCKED</x:v>
      </x:c>
      <x:c r="M34" s="31" t="str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 t="n">
        <x:v>3</x:v>
      </x:c>
      <x:c r="B35" s="31" t="str">
        <x:v>BT</x:v>
      </x:c>
      <x:c r="C35" s="31" t="str">
        <x:v>B4</x:v>
      </x:c>
      <x:c r="D35" s="31" t="str">
        <x:v>MS</x:v>
      </x:c>
      <x:c r="E35" s="31" t="str">
        <x:v>BT + B4 + MS</x:v>
      </x:c>
      <x:c r="F35" s="31" t="str">
        <x:v>IMPOSSIBLE</x:v>
      </x:c>
      <x:c r="G35" s="31" t="n">
        <x:v>0</x:v>
      </x:c>
      <x:c r="H35" s="31" t="n">
        <x:f>SUMIF(Goals!$A$4:$A$9,B35,Goals!$C$4:$C$9)+SUMIF(Goals!$A$4:$A$9,C35,Goals!$C$4:$C$9)+SUMIF(Goals!$A$4:$A$9,D35,Goals!$C$4:$C$9)</x:f>
        <x:v>9</x:v>
      </x:c>
      <x:c r="I35" s="31" t="str">
        <x:f>IF(F35="IMPOSSIBLE","",H35-G35)</x:f>
      </x:c>
      <x:c r="J35" s="31" t="n">
        <x:f>Parameters!$F$4</x:f>
        <x:v>5</x:v>
      </x:c>
      <x:c r="K35" s="31" t="str">
        <x:f>IF(I35="","",J35-I35)</x:f>
      </x:c>
      <x:c r="L35" s="31" t="str">
        <x:f>IF(F35="IMPOSSIBLE","BLOCKED",IF(K35&gt;=3,"SAFE",IF(K35&gt;=1,"LIGHT",IF(K35=0,"EDGE",IF(K35&gt;=-2,"PRESSURE","OVERLOAD")))))</x:f>
        <x:v>BLOCKED</x:v>
      </x:c>
      <x:c r="M35" s="31" t="str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 t="n">
        <x:v>3</x:v>
      </x:c>
      <x:c r="B36" s="31" t="str">
        <x:v>BT</x:v>
      </x:c>
      <x:c r="C36" s="31" t="str">
        <x:v>B4</x:v>
      </x:c>
      <x:c r="D36" s="31" t="str">
        <x:v>LH</x:v>
      </x:c>
      <x:c r="E36" s="31" t="str">
        <x:v>BT + B4 + LH</x:v>
      </x:c>
      <x:c r="F36" s="31" t="str">
        <x:v>IMPOSSIBLE</x:v>
      </x:c>
      <x:c r="G36" s="31" t="n">
        <x:v>0</x:v>
      </x:c>
      <x:c r="H36" s="31" t="n">
        <x:f>SUMIF(Goals!$A$4:$A$9,B36,Goals!$C$4:$C$9)+SUMIF(Goals!$A$4:$A$9,C36,Goals!$C$4:$C$9)+SUMIF(Goals!$A$4:$A$9,D36,Goals!$C$4:$C$9)</x:f>
        <x:v>9</x:v>
      </x:c>
      <x:c r="I36" s="31" t="str">
        <x:f>IF(F36="IMPOSSIBLE","",H36-G36)</x:f>
      </x:c>
      <x:c r="J36" s="31" t="n">
        <x:f>Parameters!$F$4</x:f>
        <x:v>5</x:v>
      </x:c>
      <x:c r="K36" s="31" t="str">
        <x:f>IF(I36="","",J36-I36)</x:f>
      </x:c>
      <x:c r="L36" s="31" t="str">
        <x:f>IF(F36="IMPOSSIBLE","BLOCKED",IF(K36&gt;=3,"SAFE",IF(K36&gt;=1,"LIGHT",IF(K36=0,"EDGE",IF(K36&gt;=-2,"PRESSURE","OVERLOAD")))))</x:f>
        <x:v>BLOCKED</x:v>
      </x:c>
      <x:c r="M36" s="31" t="str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 t="n">
        <x:v>3</x:v>
      </x:c>
      <x:c r="B37" s="31" t="str">
        <x:v>BT</x:v>
      </x:c>
      <x:c r="C37" s="31" t="str">
        <x:v>MS</x:v>
      </x:c>
      <x:c r="D37" s="31" t="str">
        <x:v>LH</x:v>
      </x:c>
      <x:c r="E37" s="31" t="str">
        <x:v>BT + MS + LH</x:v>
      </x:c>
      <x:c r="F37" s="31" t="str">
        <x:v>IMPOSSIBLE</x:v>
      </x:c>
      <x:c r="G37" s="31" t="n">
        <x:v>0</x:v>
      </x:c>
      <x:c r="H37" s="31" t="n">
        <x:f>SUMIF(Goals!$A$4:$A$9,B37,Goals!$C$4:$C$9)+SUMIF(Goals!$A$4:$A$9,C37,Goals!$C$4:$C$9)+SUMIF(Goals!$A$4:$A$9,D37,Goals!$C$4:$C$9)</x:f>
        <x:v>10</x:v>
      </x:c>
      <x:c r="I37" s="31" t="str">
        <x:f>IF(F37="IMPOSSIBLE","",H37-G37)</x:f>
      </x:c>
      <x:c r="J37" s="31" t="n">
        <x:f>Parameters!$F$4</x:f>
        <x:v>5</x:v>
      </x:c>
      <x:c r="K37" s="31" t="str">
        <x:f>IF(I37="","",J37-I37)</x:f>
      </x:c>
      <x:c r="L37" s="31" t="str">
        <x:f>IF(F37="IMPOSSIBLE","BLOCKED",IF(K37&gt;=3,"SAFE",IF(K37&gt;=1,"LIGHT",IF(K37=0,"EDGE",IF(K37&gt;=-2,"PRESSURE","OVERLOAD")))))</x:f>
        <x:v>BLOCKED</x:v>
      </x:c>
      <x:c r="M37" s="31" t="str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 t="n">
        <x:v>3</x:v>
      </x:c>
      <x:c r="B38" s="31" t="str">
        <x:v>B4</x:v>
      </x:c>
      <x:c r="C38" s="31" t="str">
        <x:v>MS</x:v>
      </x:c>
      <x:c r="D38" s="31" t="str">
        <x:v>LH</x:v>
      </x:c>
      <x:c r="E38" s="31" t="str">
        <x:v>B4 + MS + LH</x:v>
      </x:c>
      <x:c r="F38" s="31" t="str">
        <x:v>IMPOSSIBLE</x:v>
      </x:c>
      <x:c r="G38" s="31" t="n">
        <x:v>0</x:v>
      </x:c>
      <x:c r="H38" s="31" t="n">
        <x:f>SUMIF(Goals!$A$4:$A$9,B38,Goals!$C$4:$C$9)+SUMIF(Goals!$A$4:$A$9,C38,Goals!$C$4:$C$9)+SUMIF(Goals!$A$4:$A$9,D38,Goals!$C$4:$C$9)</x:f>
        <x:v>11</x:v>
      </x:c>
      <x:c r="I38" s="31" t="str">
        <x:f>IF(F38="IMPOSSIBLE","",H38-G38)</x:f>
      </x:c>
      <x:c r="J38" s="31" t="n">
        <x:f>Parameters!$F$4</x:f>
        <x:v>5</x:v>
      </x:c>
      <x:c r="K38" s="31" t="str">
        <x:f>IF(I38="","",J38-I38)</x:f>
      </x:c>
      <x:c r="L38" s="31" t="str">
        <x:f>IF(F38="IMPOSSIBLE","BLOCKED",IF(K38&gt;=3,"SAFE",IF(K38&gt;=1,"LIGHT",IF(K38=0,"EDGE",IF(K38&gt;=-2,"PRESSURE","OVERLOAD")))))</x:f>
        <x:v>BLOCKED</x:v>
      </x:c>
      <x:c r="M38" s="31" t="str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</x:sheetData>
  <x:mergeCells>
    <x:mergeCell ref="A1:P1"/>
  </x:mergeCells>
  <x:conditionalFormatting sqref="K4:K38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F4:F38">
    <x:cfRule type="expression" dxfId="0" priority="2">
      <x:formula>F4="IMPOSSIBLE"</x:formula>
    </x:cfRule>
  </x:conditionalFormatting>
  <x:conditionalFormatting sqref="M4:M38">
    <x:cfRule type="expression" dxfId="1" priority="3">
      <x:formula>M4="YES"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</x:cols>
  <x:sheetData>
    <x:row r="1">
      <x:c r="A1" s="30" t="str">
        <x:v>Ручные плейтесты — заполнять после каждой партии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2" t="str">
        <x:v>Run</x:v>
      </x:c>
      <x:c r="B3" s="32" t="str">
        <x:v>Combination</x:v>
      </x:c>
      <x:c r="C3" s="32" t="str">
        <x:v>Win?</x:v>
      </x:c>
      <x:c r="D3" s="32" t="str">
        <x:v>Turns</x:v>
      </x:c>
      <x:c r="E3" s="32" t="str">
        <x:v>Spawn 1</x:v>
      </x:c>
      <x:c r="F3" s="32" t="str">
        <x:v>Meaningful deviation turn</x:v>
      </x:c>
      <x:c r="G3" s="32" t="str">
        <x:v>What #REF! forced</x:v>
      </x:c>
      <x:c r="H3" s="32" t="str">
        <x:v>Real choices count</x:v>
      </x:c>
      <x:c r="I3" s="32" t="str">
        <x:v>Routine actions count</x:v>
      </x:c>
      <x:c r="J3" s="32" t="str">
        <x:v>Report fun 1–5</x:v>
      </x:c>
      <x:c r="K3" s="32" t="str">
        <x:v>#REF! fun 1–5</x:v>
      </x:c>
      <x:c r="L3" s="32" t="str">
        <x:v>Replay desire 1–5</x:v>
      </x:c>
      <x:c r="M3" s="32" t="str">
        <x:v>Best moment</x:v>
      </x:c>
      <x:c r="N3" s="32" t="str">
        <x:v>Irritating moment</x:v>
      </x:c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31" t="n">
        <x:v>1</x:v>
      </x:c>
      <x:c r="B4" s="31"/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1" t="n">
        <x:v>2</x:v>
      </x:c>
      <x:c r="B5" s="31"/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1" t="n">
        <x:v>3</x:v>
      </x:c>
      <x:c r="B6" s="31"/>
      <x:c r="C6" s="31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1" t="n">
        <x:v>4</x:v>
      </x:c>
      <x:c r="B7" s="31"/>
      <x:c r="C7" s="31"/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1" t="n">
        <x:v>5</x:v>
      </x:c>
      <x:c r="B8" s="31"/>
      <x:c r="C8" s="31"/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1" t="n">
        <x:v>6</x:v>
      </x:c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1" t="n">
        <x:v>7</x:v>
      </x:c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1" t="n">
        <x:v>8</x:v>
      </x:c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1" t="n">
        <x:v>9</x:v>
      </x:c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 t="n">
        <x:v>10</x:v>
      </x:c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 t="n">
        <x:v>11</x:v>
      </x:c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 t="n">
        <x:v>12</x:v>
      </x:c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 t="n">
        <x:v>13</x:v>
      </x:c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 t="n">
        <x:v>14</x:v>
      </x:c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 t="n">
        <x:v>15</x:v>
      </x:c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 t="n">
        <x:v>16</x:v>
      </x:c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 t="n">
        <x:v>17</x:v>
      </x:c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 t="n">
        <x:v>18</x:v>
      </x:c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 t="n">
        <x:v>19</x:v>
      </x:c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 t="n">
        <x:v>20</x:v>
      </x:c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 t="n">
        <x:v>21</x:v>
      </x:c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 t="n">
        <x:v>22</x:v>
      </x:c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 t="n">
        <x:v>23</x:v>
      </x:c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 t="n">
        <x:v>24</x:v>
      </x:c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 t="n">
        <x:v>25</x:v>
      </x:c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 t="n">
        <x:v>26</x:v>
      </x:c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 t="n">
        <x:v>27</x:v>
      </x:c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 t="n">
        <x:v>28</x:v>
      </x:c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 t="n">
        <x:v>29</x:v>
      </x:c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 t="n">
        <x:v>30</x:v>
      </x:c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</x:sheetData>
  <x:mergeCells>
    <x:mergeCell ref="A1:N1"/>
  </x:mergeCells>
  <x:dataValidations count="2">
    <x:dataValidation type="list" sqref="C4:C33">
      <x:formula1>"WIN,LOSS,ABORT"</x:formula1>
    </x:dataValidation>
    <x:dataValidation type="list" sqref="J4:L33">
      <x:formula1>"1,2,3,4,5"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20" hidden="0" customWidth="1"/>
    <x:col min="4" max="4" width="5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30" t="str">
        <x:v>Сегодняшняя тестовая выборка MVP 0.3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>
      <x:c r="A3" s="32" t="str">
        <x:v>Order</x:v>
      </x:c>
      <x:c r="B3" s="32" t="str">
        <x:v>Combination</x:v>
      </x:c>
      <x:c r="C3" s="32" t="str">
        <x:v>Expected band</x:v>
      </x:c>
      <x:c r="D3" s="32" t="str">
        <x:v>Why selected</x:v>
      </x:c>
      <x:c r="E3" s="32" t="str">
        <x:v>Attempts</x:v>
      </x:c>
      <x:c r="F3" s="32" t="str">
        <x:v>Wins</x:v>
      </x:c>
      <x:c r="G3" s="32" t="str">
        <x:v>Losses</x:v>
      </x:c>
      <x:c r="H3" s="32" t="str">
        <x:v>Avg turns</x:v>
      </x:c>
      <x:c r="I3" s="32" t="str">
        <x:v>Observed issue</x:v>
      </x:c>
      <x:c r="J3" s="32" t="str">
        <x:v>Decision</x:v>
      </x:c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>
      <x:c r="A4" s="31" t="n">
        <x:v>1</x:v>
      </x:c>
      <x:c r="B4" s="31" t="str">
        <x:v>ST + OT</x:v>
      </x:c>
      <x:c r="C4" s="31" t="str">
        <x:v>LIGHT</x:v>
      </x:c>
      <x:c r="D4" s="31" t="str">
        <x:v>Контроль: почти успеваем до серьёзного давления.</x:v>
      </x:c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  <x:c r="W4" s="31"/>
      <x:c r="X4" s="31"/>
      <x:c r="Y4" s="31"/>
      <x:c r="Z4" s="31"/>
    </x:row>
    <x:row r="5">
      <x:c r="A5" s="31" t="n">
        <x:v>2</x:v>
      </x:c>
      <x:c r="B5" s="31" t="str">
        <x:v>ST + B4</x:v>
      </x:c>
      <x:c r="C5" s="31" t="str">
        <x:v>EDGE</x:v>
      </x:c>
      <x:c r="D5" s="31" t="str">
        <x:v>Первая граница: cost примерно совпадает с threat horizon.</x:v>
      </x:c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  <x:c r="W5" s="31"/>
      <x:c r="X5" s="31"/>
      <x:c r="Y5" s="31"/>
      <x:c r="Z5" s="31"/>
    </x:row>
    <x:row r="6">
      <x:c r="A6" s="31" t="n">
        <x:v>3</x:v>
      </x:c>
      <x:c r="B6" s="31" t="str">
        <x:v>OT + MS</x:v>
      </x:c>
      <x:c r="C6" s="31" t="str">
        <x:v>EDGE</x:v>
      </x:c>
      <x:c r="D6" s="31" t="str">
        <x:v>Граница + переиспользование SORT overtime.</x:v>
      </x:c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>
      <x:c r="A7" s="31" t="n">
        <x:v>4</x:v>
      </x:c>
      <x:c r="B7" s="31" t="str">
        <x:v>BT + MS</x:v>
      </x:c>
      <x:c r="C7" s="31" t="str">
        <x:v>PRESSURE</x:v>
      </x:c>
      <x:c r="D7" s="31" t="str">
        <x:v>Независимые данные, но мирный план длиннее окна безопасности.</x:v>
      </x:c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  <x:c r="W7" s="31"/>
      <x:c r="X7" s="31"/>
      <x:c r="Y7" s="31"/>
      <x:c r="Z7" s="31"/>
    </x:row>
    <x:row r="8">
      <x:c r="A8" s="31" t="n">
        <x:v>5</x:v>
      </x:c>
      <x:c r="B8" s="31" t="str">
        <x:v>ST + OT + BT</x:v>
      </x:c>
      <x:c r="C8" s="31" t="str">
        <x:v>PRESSURE</x:v>
      </x:c>
      <x:c r="D8" s="31" t="str">
        <x:v>Три простые цели: проверка композиции.</x:v>
      </x:c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</x:row>
    <x:row r="9">
      <x:c r="A9" s="31" t="n">
        <x:v>6</x:v>
      </x:c>
      <x:c r="B9" s="31" t="str">
        <x:v>OT + BT + LH</x:v>
      </x:c>
      <x:c r="C9" s="31" t="str">
        <x:v>OVERLOAD</x:v>
      </x:c>
      <x:c r="D9" s="31" t="str">
        <x:v>Стресс-тест: должен вынуждать менять план.</x:v>
      </x:c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  <x:c r="W9" s="31"/>
      <x:c r="X9" s="31"/>
      <x:c r="Y9" s="31"/>
      <x:c r="Z9" s="31"/>
    </x:row>
    <x:row r="10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  <x:c r="W10" s="31"/>
      <x:c r="X10" s="31"/>
      <x:c r="Y10" s="31"/>
      <x:c r="Z10" s="31"/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  <x:c r="W11" s="31"/>
      <x:c r="X11" s="31"/>
      <x:c r="Y11" s="31"/>
      <x:c r="Z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  <x:c r="W12" s="31"/>
      <x:c r="X12" s="31"/>
      <x:c r="Y12" s="31"/>
      <x:c r="Z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  <x:c r="W13" s="31"/>
      <x:c r="X13" s="31"/>
      <x:c r="Y13" s="31"/>
      <x:c r="Z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  <x:c r="W14" s="31"/>
      <x:c r="X14" s="31"/>
      <x:c r="Y14" s="31"/>
      <x:c r="Z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  <x:c r="W15" s="31"/>
      <x:c r="X15" s="31"/>
      <x:c r="Y15" s="31"/>
      <x:c r="Z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  <x:c r="W16" s="31"/>
      <x:c r="X16" s="31"/>
      <x:c r="Y16" s="31"/>
      <x:c r="Z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  <x:c r="W18" s="31"/>
      <x:c r="X18" s="31"/>
      <x:c r="Y18" s="31"/>
      <x:c r="Z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  <x:c r="W19" s="31"/>
      <x:c r="X19" s="31"/>
      <x:c r="Y19" s="31"/>
      <x:c r="Z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  <x:c r="W23" s="31"/>
      <x:c r="X23" s="31"/>
      <x:c r="Y23" s="31"/>
      <x:c r="Z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  <x:c r="W24" s="31"/>
      <x:c r="X24" s="31"/>
      <x:c r="Y24" s="31"/>
      <x:c r="Z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  <x:c r="W29" s="31"/>
      <x:c r="X29" s="31"/>
      <x:c r="Y29" s="31"/>
      <x:c r="Z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  <x:c r="W30" s="31"/>
      <x:c r="X30" s="31"/>
      <x:c r="Y30" s="31"/>
      <x:c r="Z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  <x:c r="W31" s="31"/>
      <x:c r="X31" s="31"/>
      <x:c r="Y31" s="31"/>
      <x:c r="Z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  <x:c r="W32" s="31"/>
      <x:c r="X32" s="31"/>
      <x:c r="Y32" s="31"/>
      <x:c r="Z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  <x:c r="W33" s="31"/>
      <x:c r="X33" s="31"/>
      <x:c r="Y33" s="31"/>
      <x:c r="Z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  <x:c r="W34" s="31"/>
      <x:c r="X34" s="31"/>
      <x:c r="Y34" s="31"/>
      <x:c r="Z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  <x:c r="W35" s="31"/>
      <x:c r="X35" s="31"/>
      <x:c r="Y35" s="31"/>
      <x:c r="Z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  <x:c r="W36" s="31"/>
      <x:c r="X36" s="31"/>
      <x:c r="Y36" s="31"/>
      <x:c r="Z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  <x:c r="W37" s="31"/>
      <x:c r="X37" s="31"/>
      <x:c r="Y37" s="31"/>
      <x:c r="Z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  <x:c r="W38" s="31"/>
      <x:c r="X38" s="31"/>
      <x:c r="Y38" s="31"/>
      <x:c r="Z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  <x:c r="W39" s="31"/>
      <x:c r="X39" s="31"/>
      <x:c r="Y39" s="31"/>
      <x:c r="Z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  <x:c r="W40" s="31"/>
      <x:c r="X40" s="31"/>
      <x:c r="Y40" s="31"/>
      <x:c r="Z40" s="31"/>
    </x:row>
  </x:sheetData>
  <x:mergeCells>
    <x:mergeCell ref="A1:J1"/>
  </x:mergeCells>
  <x:dataValidations count="1">
    <x:dataValidation type="list" sqref="J4:J9">
      <x:formula1>"KEEP,RETEST,TOO EASY,TOO HARD,BROKEN"</x:formula1>
    </x:dataValidation>
  </x:dataValidations>
  <x:pageMargins left="0.7" right="0.7" top="0.75" bottom="0.75" header="0.3" footer="0.3"/>
</x:worksheet>
</file>